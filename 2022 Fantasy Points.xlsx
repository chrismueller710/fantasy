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<sst xmlns="http://schemas.openxmlformats.org/spreadsheetml/2006/main" count="1560" uniqueCount="508">
  <si>
    <t>Player</t>
  </si>
  <si>
    <t>State</t>
  </si>
  <si>
    <t>College</t>
  </si>
  <si>
    <t>Team</t>
  </si>
  <si>
    <t>Position</t>
  </si>
  <si>
    <t>Age</t>
  </si>
  <si>
    <t>Games</t>
  </si>
  <si>
    <t>Pass_Yards</t>
  </si>
  <si>
    <t>Pass_TDs</t>
  </si>
  <si>
    <t>Ints</t>
  </si>
  <si>
    <t>Rush_Yards</t>
  </si>
  <si>
    <t>Rush_TDs</t>
  </si>
  <si>
    <t>Receptions</t>
  </si>
  <si>
    <t>Rec_Yards</t>
  </si>
  <si>
    <t>Rec_TDs</t>
  </si>
  <si>
    <t>Fumbles</t>
  </si>
  <si>
    <t>Two_Pt</t>
  </si>
  <si>
    <t>XP</t>
  </si>
  <si>
    <t>FG_30</t>
  </si>
  <si>
    <t>FG_40</t>
  </si>
  <si>
    <t>FG_50</t>
  </si>
  <si>
    <t>FG_60</t>
  </si>
  <si>
    <t>FG_Miss</t>
  </si>
  <si>
    <t>Total</t>
  </si>
  <si>
    <t>Per_Game</t>
  </si>
  <si>
    <t>A.J. Brown</t>
  </si>
  <si>
    <t>Mississippi</t>
  </si>
  <si>
    <t>Eagles</t>
  </si>
  <si>
    <t>WR</t>
  </si>
  <si>
    <t>A.J. Green</t>
  </si>
  <si>
    <t>South Carolina</t>
  </si>
  <si>
    <t>Georgia</t>
  </si>
  <si>
    <t>Cardinals</t>
  </si>
  <si>
    <t>Aaron Jones</t>
  </si>
  <si>
    <t>Texas-El Paso</t>
  </si>
  <si>
    <t>Packers</t>
  </si>
  <si>
    <t>RB</t>
  </si>
  <si>
    <t>Aaron Rodgers</t>
  </si>
  <si>
    <t>California</t>
  </si>
  <si>
    <t>QB</t>
  </si>
  <si>
    <t>Adam Thielen</t>
  </si>
  <si>
    <t>Minnesota</t>
  </si>
  <si>
    <t>Minnesota St.</t>
  </si>
  <si>
    <t>Vikings</t>
  </si>
  <si>
    <t>AJ Dillon</t>
  </si>
  <si>
    <t>Maryland</t>
  </si>
  <si>
    <t>Boston College</t>
  </si>
  <si>
    <t>Albert Okwuegbunam</t>
  </si>
  <si>
    <t>Illinois</t>
  </si>
  <si>
    <t>Missouri</t>
  </si>
  <si>
    <t>Broncos</t>
  </si>
  <si>
    <t>TE</t>
  </si>
  <si>
    <t>Alec Pierce</t>
  </si>
  <si>
    <t>Cincinnati</t>
  </si>
  <si>
    <t>Colts</t>
  </si>
  <si>
    <t>Alexander Mattison</t>
  </si>
  <si>
    <t>Boise St.</t>
  </si>
  <si>
    <t>Allen Lazard</t>
  </si>
  <si>
    <t>Iowa</t>
  </si>
  <si>
    <t>Iowa St.</t>
  </si>
  <si>
    <t>Allen Robinson II</t>
  </si>
  <si>
    <t>Michigan</t>
  </si>
  <si>
    <t>Penn St.</t>
  </si>
  <si>
    <t>Rams</t>
  </si>
  <si>
    <t>Alvin Kamara</t>
  </si>
  <si>
    <t>Tennessee</t>
  </si>
  <si>
    <t>Saints</t>
  </si>
  <si>
    <t>Amari Cooper</t>
  </si>
  <si>
    <t>Florida</t>
  </si>
  <si>
    <t>Alabama</t>
  </si>
  <si>
    <t>Browns</t>
  </si>
  <si>
    <t>Ameer Abdullah</t>
  </si>
  <si>
    <t>Nebraska</t>
  </si>
  <si>
    <t>Raiders</t>
  </si>
  <si>
    <t>Amon-Ra St. Brown</t>
  </si>
  <si>
    <t>Calfornia</t>
  </si>
  <si>
    <t>USC</t>
  </si>
  <si>
    <t>Lions</t>
  </si>
  <si>
    <t>Andy Dalton</t>
  </si>
  <si>
    <t>Texas</t>
  </si>
  <si>
    <t>TCU</t>
  </si>
  <si>
    <t>Antonio Gibson</t>
  </si>
  <si>
    <t>Memphis</t>
  </si>
  <si>
    <t>Commanders</t>
  </si>
  <si>
    <t>Ashton Dulin</t>
  </si>
  <si>
    <t>Ohio</t>
  </si>
  <si>
    <t>Malone</t>
  </si>
  <si>
    <t>Austin Ekeler</t>
  </si>
  <si>
    <t>Western St.</t>
  </si>
  <si>
    <t>Chargers</t>
  </si>
  <si>
    <t>Austin Hooper</t>
  </si>
  <si>
    <t>Stanford</t>
  </si>
  <si>
    <t>Titans</t>
  </si>
  <si>
    <t>Baker Mayfield</t>
  </si>
  <si>
    <t>Oklahoma</t>
  </si>
  <si>
    <t>Panthers</t>
  </si>
  <si>
    <t>Ben Skowronek</t>
  </si>
  <si>
    <t>Indiana</t>
  </si>
  <si>
    <t>Notre Dame</t>
  </si>
  <si>
    <t>Boston Scott</t>
  </si>
  <si>
    <t>Louisiana</t>
  </si>
  <si>
    <t>Louisiana Tech</t>
  </si>
  <si>
    <t>Brandin Cooks</t>
  </si>
  <si>
    <t>Oregon St.</t>
  </si>
  <si>
    <t>Texans</t>
  </si>
  <si>
    <t>Brandon Aiyuk</t>
  </si>
  <si>
    <t>Nevada</t>
  </si>
  <si>
    <t>Arizona St.</t>
  </si>
  <si>
    <t>49ers</t>
  </si>
  <si>
    <t>Brandon McManus</t>
  </si>
  <si>
    <t>Pennsylvania</t>
  </si>
  <si>
    <t>Temple</t>
  </si>
  <si>
    <t>K</t>
  </si>
  <si>
    <t>Braxton Berrios</t>
  </si>
  <si>
    <t>North Carolina</t>
  </si>
  <si>
    <t>Miami of Florida</t>
  </si>
  <si>
    <t>Jets</t>
  </si>
  <si>
    <t>Brett Maher</t>
  </si>
  <si>
    <t>Cowboys</t>
  </si>
  <si>
    <t>Brian Robinson</t>
  </si>
  <si>
    <t>Brock Purdy</t>
  </si>
  <si>
    <t>Arizona</t>
  </si>
  <si>
    <t>Byron Pringle</t>
  </si>
  <si>
    <t>Kansas St.</t>
  </si>
  <si>
    <t>Bears</t>
  </si>
  <si>
    <t>C.J. Uzomah</t>
  </si>
  <si>
    <t>Auburn</t>
  </si>
  <si>
    <t>Cade Otton</t>
  </si>
  <si>
    <t>Washington</t>
  </si>
  <si>
    <t>Buccaneers</t>
  </si>
  <si>
    <t>Cade York</t>
  </si>
  <si>
    <t>LSU</t>
  </si>
  <si>
    <t>Cairo Santos</t>
  </si>
  <si>
    <t>Brazil</t>
  </si>
  <si>
    <t>Tulane</t>
  </si>
  <si>
    <t>Caleb Huntley</t>
  </si>
  <si>
    <t>Ball St.</t>
  </si>
  <si>
    <t>Falcons</t>
  </si>
  <si>
    <t>Cam Akers</t>
  </si>
  <si>
    <t>Florida St.</t>
  </si>
  <si>
    <t>Cameron Brate</t>
  </si>
  <si>
    <t>Harvard</t>
  </si>
  <si>
    <t>Cameron Dicker</t>
  </si>
  <si>
    <t>Hong Kong</t>
  </si>
  <si>
    <t>Carson Wentz</t>
  </si>
  <si>
    <t>North Dakota St.</t>
  </si>
  <si>
    <t>CeeDee Lamb</t>
  </si>
  <si>
    <t>Chase Claypool</t>
  </si>
  <si>
    <t>British Columbia</t>
  </si>
  <si>
    <t>Steelers</t>
  </si>
  <si>
    <t>Chase Edmonds</t>
  </si>
  <si>
    <t>Fordham</t>
  </si>
  <si>
    <t>Dolphins</t>
  </si>
  <si>
    <t>Chase McLaughlin</t>
  </si>
  <si>
    <t>Chosen Anderson</t>
  </si>
  <si>
    <t>New Jersey</t>
  </si>
  <si>
    <t>Chris Boswell</t>
  </si>
  <si>
    <t>Rice</t>
  </si>
  <si>
    <t>Chris Godwin</t>
  </si>
  <si>
    <t>Chris Moore</t>
  </si>
  <si>
    <t>Chris Olave</t>
  </si>
  <si>
    <t>Ohio St.</t>
  </si>
  <si>
    <t>Christian Kirk</t>
  </si>
  <si>
    <t>Texas A&amp;M</t>
  </si>
  <si>
    <t>Jaguars</t>
  </si>
  <si>
    <t>Christian McCaffrey</t>
  </si>
  <si>
    <t>Colorado</t>
  </si>
  <si>
    <t>Christian Watson</t>
  </si>
  <si>
    <t>Chuba Hubbard</t>
  </si>
  <si>
    <t>Alberta</t>
  </si>
  <si>
    <t>Oklahoma St.</t>
  </si>
  <si>
    <t>Clyde Edwards-Helaire</t>
  </si>
  <si>
    <t>Chiefs</t>
  </si>
  <si>
    <t>Colby Parkinson</t>
  </si>
  <si>
    <t>Seahawks</t>
  </si>
  <si>
    <t>Cole Kmet</t>
  </si>
  <si>
    <t>Cooper Kupp</t>
  </si>
  <si>
    <t>Eastern Washington</t>
  </si>
  <si>
    <t>Cooper Rush</t>
  </si>
  <si>
    <t>Central Michigan</t>
  </si>
  <si>
    <t>Cordarrelle Patterson</t>
  </si>
  <si>
    <t>Corey Davis</t>
  </si>
  <si>
    <t>Western Michigan</t>
  </si>
  <si>
    <t>Courtland Sutton</t>
  </si>
  <si>
    <t>SMU</t>
  </si>
  <si>
    <t>Craig Reynolds</t>
  </si>
  <si>
    <t>Kutztown</t>
  </si>
  <si>
    <t>Curtis Samuel</t>
  </si>
  <si>
    <t>New York</t>
  </si>
  <si>
    <t>D.K. Metcalf</t>
  </si>
  <si>
    <t>D'Andre Swift</t>
  </si>
  <si>
    <t>D'Onta Foreman</t>
  </si>
  <si>
    <t>Dak Prescott</t>
  </si>
  <si>
    <t>Mississippi St.</t>
  </si>
  <si>
    <t>Dallas Goedert</t>
  </si>
  <si>
    <t>South Dakota</t>
  </si>
  <si>
    <t>South Dakota St.</t>
  </si>
  <si>
    <t>Dalton Schultz</t>
  </si>
  <si>
    <t>Utah</t>
  </si>
  <si>
    <t>Dalvin Cook</t>
  </si>
  <si>
    <t>Dameon Pierce</t>
  </si>
  <si>
    <t>Damien Harris</t>
  </si>
  <si>
    <t>Kentucky</t>
  </si>
  <si>
    <t>Patriots</t>
  </si>
  <si>
    <t>Damiere Byrd</t>
  </si>
  <si>
    <t>Daniel Bellinger</t>
  </si>
  <si>
    <t>San Diego St.</t>
  </si>
  <si>
    <t>Giants</t>
  </si>
  <si>
    <t>Daniel Carlson</t>
  </si>
  <si>
    <t>Daniel Jones</t>
  </si>
  <si>
    <t>Duke</t>
  </si>
  <si>
    <t>Dante Pettis</t>
  </si>
  <si>
    <t>Darius Slayton</t>
  </si>
  <si>
    <t>Darnell Mooney</t>
  </si>
  <si>
    <t>Darrell Henderson</t>
  </si>
  <si>
    <t>Darren Waller</t>
  </si>
  <si>
    <t>Georgia Tech</t>
  </si>
  <si>
    <t>Davante Adams</t>
  </si>
  <si>
    <t>Fresno St.</t>
  </si>
  <si>
    <t>David Montgomery</t>
  </si>
  <si>
    <t>David Njoku</t>
  </si>
  <si>
    <t>Davis Mills</t>
  </si>
  <si>
    <t>Dawson Knox</t>
  </si>
  <si>
    <t>Bills</t>
  </si>
  <si>
    <t>DeAndre Carter</t>
  </si>
  <si>
    <t>Sacramento St.</t>
  </si>
  <si>
    <t>DeAndre Hopkins</t>
  </si>
  <si>
    <t>Clemson</t>
  </si>
  <si>
    <t>Deebo Samuel</t>
  </si>
  <si>
    <t>Demarcus Robinson</t>
  </si>
  <si>
    <t>Ravens</t>
  </si>
  <si>
    <t>Deon Jackson</t>
  </si>
  <si>
    <t>Derek Carr</t>
  </si>
  <si>
    <t>Derrick Henry</t>
  </si>
  <si>
    <t>DeVante Parker</t>
  </si>
  <si>
    <t>Louisville</t>
  </si>
  <si>
    <t>Devin Duvernay</t>
  </si>
  <si>
    <t>Devin Singletary</t>
  </si>
  <si>
    <t>Florida Atlantic</t>
  </si>
  <si>
    <t>DeVonta Smith</t>
  </si>
  <si>
    <t>Diontae Johnson</t>
  </si>
  <si>
    <t>Toledo</t>
  </si>
  <si>
    <t>DJ Chark Jr.</t>
  </si>
  <si>
    <t>DJ Moore</t>
  </si>
  <si>
    <t>Donovan Peoples-Jones</t>
  </si>
  <si>
    <t>Dontrell Hilliard</t>
  </si>
  <si>
    <t>Drake London</t>
  </si>
  <si>
    <t>Eddy Pineiro</t>
  </si>
  <si>
    <t>Elijah Moore</t>
  </si>
  <si>
    <t>Eno Benjamin</t>
  </si>
  <si>
    <t>Equanimeous St. Brown</t>
  </si>
  <si>
    <t>Evan Engram</t>
  </si>
  <si>
    <t>Evan McPherson</t>
  </si>
  <si>
    <t>Bengals</t>
  </si>
  <si>
    <t>Ezekiel Elliott</t>
  </si>
  <si>
    <t>Foster Moreau</t>
  </si>
  <si>
    <t>Gabriel Davis</t>
  </si>
  <si>
    <t>Central Florida</t>
  </si>
  <si>
    <t>Garrett Wilson</t>
  </si>
  <si>
    <t>Geno Smith</t>
  </si>
  <si>
    <t>West Virginia</t>
  </si>
  <si>
    <t>George Kittle</t>
  </si>
  <si>
    <t>Wisconsin</t>
  </si>
  <si>
    <t>George Pickens</t>
  </si>
  <si>
    <t>Gerald Everett</t>
  </si>
  <si>
    <t>South Alabama</t>
  </si>
  <si>
    <t>Graham Gano</t>
  </si>
  <si>
    <t>Scotland</t>
  </si>
  <si>
    <t>Greg Dortch</t>
  </si>
  <si>
    <t>Virginia</t>
  </si>
  <si>
    <t>Wake Forest</t>
  </si>
  <si>
    <t>Greg Dulcich</t>
  </si>
  <si>
    <t>UCLA</t>
  </si>
  <si>
    <t>Greg Joseph</t>
  </si>
  <si>
    <t>South Africa</t>
  </si>
  <si>
    <t>Greg Zuerlein</t>
  </si>
  <si>
    <t>Missouri Western St.</t>
  </si>
  <si>
    <t>Gus Edwards</t>
  </si>
  <si>
    <t>Liberia</t>
  </si>
  <si>
    <t>Rutgers</t>
  </si>
  <si>
    <t>Harrison Bryant</t>
  </si>
  <si>
    <t>Harrison Butker</t>
  </si>
  <si>
    <t>Hayden Hurst</t>
  </si>
  <si>
    <t>Hunter Henry</t>
  </si>
  <si>
    <t>Arkansas</t>
  </si>
  <si>
    <t>Hunter Renfrow</t>
  </si>
  <si>
    <t>Irv Smith Jr.</t>
  </si>
  <si>
    <t>Isaiah Likely</t>
  </si>
  <si>
    <t>Massachusetts</t>
  </si>
  <si>
    <t>Coastal Carolina</t>
  </si>
  <si>
    <t>Isaiah McKenzie</t>
  </si>
  <si>
    <t>Isiah Pacheco</t>
  </si>
  <si>
    <t>J.D. McKissic</t>
  </si>
  <si>
    <t>Arkansas St.</t>
  </si>
  <si>
    <t>J.K. Dobbins</t>
  </si>
  <si>
    <t>Ja'Marr Chase</t>
  </si>
  <si>
    <t>Jacoby Brissett</t>
  </si>
  <si>
    <t>North Carolina St.</t>
  </si>
  <si>
    <t>Jahan Dotson</t>
  </si>
  <si>
    <t>Jake Elliott</t>
  </si>
  <si>
    <t>Jake Ferguson</t>
  </si>
  <si>
    <t>Jakobi Meyers</t>
  </si>
  <si>
    <t>Jalen Hurts</t>
  </si>
  <si>
    <t>Jamaal Williams</t>
  </si>
  <si>
    <t>BYU</t>
  </si>
  <si>
    <t>Jamal Agnew</t>
  </si>
  <si>
    <t>San Diego</t>
  </si>
  <si>
    <t>James Conner</t>
  </si>
  <si>
    <t>Pittsburgh</t>
  </si>
  <si>
    <t>James Cook</t>
  </si>
  <si>
    <t>James Robinson</t>
  </si>
  <si>
    <t>Illinois St.</t>
  </si>
  <si>
    <t>JaMycal Hasty</t>
  </si>
  <si>
    <t>Baylor</t>
  </si>
  <si>
    <t>Jared Goff</t>
  </si>
  <si>
    <t>Jarvis Landry</t>
  </si>
  <si>
    <t>Jason Myers</t>
  </si>
  <si>
    <t>Marist</t>
  </si>
  <si>
    <t>Jason Sanders</t>
  </si>
  <si>
    <t>New Mexico</t>
  </si>
  <si>
    <t>Jauan Jennings</t>
  </si>
  <si>
    <t>Jaylen Waddle</t>
  </si>
  <si>
    <t>Jaylen Warren</t>
  </si>
  <si>
    <t>Jeff Wilson</t>
  </si>
  <si>
    <t>North Texas</t>
  </si>
  <si>
    <t>Jelani Woods</t>
  </si>
  <si>
    <t>Jerick McKinnon</t>
  </si>
  <si>
    <t>Georgia Southern</t>
  </si>
  <si>
    <t>Jerry Jeudy</t>
  </si>
  <si>
    <t>Jimmy Garoppolo</t>
  </si>
  <si>
    <t>Eastern Illinois</t>
  </si>
  <si>
    <t>Joe Burrow</t>
  </si>
  <si>
    <t>Joe Mixon</t>
  </si>
  <si>
    <t>Joey Slye</t>
  </si>
  <si>
    <t>Virginia Tech</t>
  </si>
  <si>
    <t>Jonathan Taylor</t>
  </si>
  <si>
    <t>Jonnu Smith</t>
  </si>
  <si>
    <t>Florida International</t>
  </si>
  <si>
    <t>Jordan Akins</t>
  </si>
  <si>
    <t>Josh Allen</t>
  </si>
  <si>
    <t>Wyoming</t>
  </si>
  <si>
    <t>Josh Jacobs</t>
  </si>
  <si>
    <t>Josh Palmer</t>
  </si>
  <si>
    <t>Ontario</t>
  </si>
  <si>
    <t>Josh Reynolds</t>
  </si>
  <si>
    <t>Joshua Kelley</t>
  </si>
  <si>
    <t>JuJu Smith-Schuster</t>
  </si>
  <si>
    <t>Julio Jones</t>
  </si>
  <si>
    <t>Justin Fields</t>
  </si>
  <si>
    <t>Justin Herbert</t>
  </si>
  <si>
    <t>Oregon</t>
  </si>
  <si>
    <t>Justin Jackson</t>
  </si>
  <si>
    <t>Northwestern</t>
  </si>
  <si>
    <t>Justin Jefferson</t>
  </si>
  <si>
    <t>Justin Tucker</t>
  </si>
  <si>
    <t>Justin Watson</t>
  </si>
  <si>
    <t>Juwan Johnson</t>
  </si>
  <si>
    <t>K.J. Osborn</t>
  </si>
  <si>
    <t>Ka'imi Fairbairn</t>
  </si>
  <si>
    <t>Hawaii</t>
  </si>
  <si>
    <t>Kadarius Toney</t>
  </si>
  <si>
    <t>Kalif Raymond</t>
  </si>
  <si>
    <t>Holy Cross</t>
  </si>
  <si>
    <t>Kareem Hunt</t>
  </si>
  <si>
    <t>Keenan Allen</t>
  </si>
  <si>
    <t>Kendall Hinton</t>
  </si>
  <si>
    <t>Kendrick Bourne</t>
  </si>
  <si>
    <t>Kenneth Gainwell</t>
  </si>
  <si>
    <t>Kenneth Walker III</t>
  </si>
  <si>
    <t>Michigan St.</t>
  </si>
  <si>
    <t>Kenny Pickett</t>
  </si>
  <si>
    <t>Kenyan Drake</t>
  </si>
  <si>
    <t>Khalil Herbert</t>
  </si>
  <si>
    <t>Kirk Cousins</t>
  </si>
  <si>
    <t>Kyle Juszczyk</t>
  </si>
  <si>
    <t>Kyle Pitts</t>
  </si>
  <si>
    <t>Kylen Granson</t>
  </si>
  <si>
    <t>Kyler Murray</t>
  </si>
  <si>
    <t>Lamar Jackson</t>
  </si>
  <si>
    <t>Latavius Murray</t>
  </si>
  <si>
    <t>Laviska Shenault Jr.</t>
  </si>
  <si>
    <t>Leonard Fournette III</t>
  </si>
  <si>
    <t>Logan Thomas</t>
  </si>
  <si>
    <t>Mac Jones</t>
  </si>
  <si>
    <t>Mack Hollins</t>
  </si>
  <si>
    <t>Marcus Mariota</t>
  </si>
  <si>
    <t>Mark Andrews</t>
  </si>
  <si>
    <t>Mark Ingram</t>
  </si>
  <si>
    <t>Marlon Mack</t>
  </si>
  <si>
    <t>South Florida</t>
  </si>
  <si>
    <t>Marquez Valdes-Scantling</t>
  </si>
  <si>
    <t>Marquise Brown</t>
  </si>
  <si>
    <t>Marquise Goodwin</t>
  </si>
  <si>
    <t>Marvin Jones Jr.</t>
  </si>
  <si>
    <t>Mason Crosby</t>
  </si>
  <si>
    <t>Matt Breida</t>
  </si>
  <si>
    <t>Matt Gay</t>
  </si>
  <si>
    <t>Matt Prater</t>
  </si>
  <si>
    <t>Matt Ryan</t>
  </si>
  <si>
    <t>Matthew Stafford</t>
  </si>
  <si>
    <t>Mecole Hardman</t>
  </si>
  <si>
    <t>Melvin Gordon III</t>
  </si>
  <si>
    <t>Michael Badgley</t>
  </si>
  <si>
    <t>Michael Carter</t>
  </si>
  <si>
    <t>Michael Gallup</t>
  </si>
  <si>
    <t>Colorado St.</t>
  </si>
  <si>
    <t>Michael Pittman Jr.</t>
  </si>
  <si>
    <t>Mike Boone</t>
  </si>
  <si>
    <t>Mike Evans</t>
  </si>
  <si>
    <t>Mike Gesicki</t>
  </si>
  <si>
    <t>Mike Williams</t>
  </si>
  <si>
    <t>Miles Sanders</t>
  </si>
  <si>
    <t>Mo Alie-Cox</t>
  </si>
  <si>
    <t>Virginia Commonwealth</t>
  </si>
  <si>
    <t>MyCole Pruitt</t>
  </si>
  <si>
    <t>Southern Illinois</t>
  </si>
  <si>
    <t>Najee Harris</t>
  </si>
  <si>
    <t>Nelson Agholor</t>
  </si>
  <si>
    <t>Nigeria</t>
  </si>
  <si>
    <t>Nick Chubb</t>
  </si>
  <si>
    <t>Nick Folk</t>
  </si>
  <si>
    <t>Nick Westbrook-Ikhine</t>
  </si>
  <si>
    <t>Nico Collins</t>
  </si>
  <si>
    <t>Noah Brown</t>
  </si>
  <si>
    <t>Noah Fant</t>
  </si>
  <si>
    <t>Noah Gray</t>
  </si>
  <si>
    <t>Nyheim Hines</t>
  </si>
  <si>
    <t>Olamide Zaccheaus</t>
  </si>
  <si>
    <t>Parris Campbell</t>
  </si>
  <si>
    <t>Pat Freiermuth</t>
  </si>
  <si>
    <t>Patrick Mahomes II</t>
  </si>
  <si>
    <t>Texas Tech</t>
  </si>
  <si>
    <t>Phillip Dorsett</t>
  </si>
  <si>
    <t>Quez Watkins</t>
  </si>
  <si>
    <t>Southern Mississippi</t>
  </si>
  <si>
    <t>Rachaad White</t>
  </si>
  <si>
    <t>Raheem Mostert</t>
  </si>
  <si>
    <t>Purdue</t>
  </si>
  <si>
    <t>Randall Cobb</t>
  </si>
  <si>
    <t>Randy Bullock</t>
  </si>
  <si>
    <t>Rashid Shaheed</t>
  </si>
  <si>
    <t>Weber St.</t>
  </si>
  <si>
    <t>Ray-Ray McCloud</t>
  </si>
  <si>
    <t>Rex Burkhead</t>
  </si>
  <si>
    <t>Rhamondre Stevenson</t>
  </si>
  <si>
    <t>Richie James</t>
  </si>
  <si>
    <t>Middle Tennessee St.</t>
  </si>
  <si>
    <t>Riley Patterson</t>
  </si>
  <si>
    <t>Robbie Gould</t>
  </si>
  <si>
    <t>Robert Tonyan</t>
  </si>
  <si>
    <t>Indiana St.</t>
  </si>
  <si>
    <t>Robert Woods</t>
  </si>
  <si>
    <t>Romeo Doubs</t>
  </si>
  <si>
    <t>Rondale Moore</t>
  </si>
  <si>
    <t>Russell Gage</t>
  </si>
  <si>
    <t>Russell Wilson</t>
  </si>
  <si>
    <t>Ryan Succop</t>
  </si>
  <si>
    <t>Ryan Tannehill</t>
  </si>
  <si>
    <t>Samaje Perine</t>
  </si>
  <si>
    <t>Sammy Watkins</t>
  </si>
  <si>
    <t>Saquon Barkley</t>
  </si>
  <si>
    <t>Shane Zylstra</t>
  </si>
  <si>
    <t>Shi Smith</t>
  </si>
  <si>
    <t>Stefon Diggs</t>
  </si>
  <si>
    <t>T.J. Hockenson</t>
  </si>
  <si>
    <t>Taylor Heinecke</t>
  </si>
  <si>
    <t>Old Dominion</t>
  </si>
  <si>
    <t>Taysom Hill</t>
  </si>
  <si>
    <t>Idaho</t>
  </si>
  <si>
    <t>Tee Higgins</t>
  </si>
  <si>
    <t>Terrace Marshall Jr.</t>
  </si>
  <si>
    <t>Terry McLaurin</t>
  </si>
  <si>
    <t>Tom Brady</t>
  </si>
  <si>
    <t>Tommy Tremble</t>
  </si>
  <si>
    <t>Tony Pollard</t>
  </si>
  <si>
    <t>Travis Etienne Jr.</t>
  </si>
  <si>
    <t>Travis Homer</t>
  </si>
  <si>
    <t>Travis Kelce</t>
  </si>
  <si>
    <t>Tre'Quan Smith</t>
  </si>
  <si>
    <t>Trent Sherfield</t>
  </si>
  <si>
    <t>Vanderbilt</t>
  </si>
  <si>
    <t>Trevor Lawrence</t>
  </si>
  <si>
    <t>Trey McBride</t>
  </si>
  <si>
    <t>Treylon Burks</t>
  </si>
  <si>
    <t>Tua Tagovailoa</t>
  </si>
  <si>
    <t>Tutu Atwell</t>
  </si>
  <si>
    <t>Tyler Allgeier</t>
  </si>
  <si>
    <t>Tyler Bass</t>
  </si>
  <si>
    <t>Tyler Boyd</t>
  </si>
  <si>
    <t>Tyler Conklin</t>
  </si>
  <si>
    <t>Tyler Higbee</t>
  </si>
  <si>
    <t>Western Kentucky</t>
  </si>
  <si>
    <t>Tyler Lockett</t>
  </si>
  <si>
    <t>Tyquan Thornton</t>
  </si>
  <si>
    <t>Tyreek Hill</t>
  </si>
  <si>
    <t>West Alabama</t>
  </si>
  <si>
    <t>Van Jefferson</t>
  </si>
  <si>
    <t>Wil Lutz</t>
  </si>
  <si>
    <t>Georgia St.</t>
  </si>
  <si>
    <t>Will Dissly</t>
  </si>
  <si>
    <t>Montana</t>
  </si>
  <si>
    <t>Younghoe Koo</t>
  </si>
  <si>
    <t>South Korea</t>
  </si>
  <si>
    <t>Zach Ertz</t>
  </si>
  <si>
    <t>Zach Wilson</t>
  </si>
  <si>
    <t>Zack Moss</t>
  </si>
  <si>
    <t>Zay Jones</t>
  </si>
  <si>
    <t>East Carolina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</si>
</sst>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right" readingOrder="0" vertical="bottom"/>
    </xf>
    <xf borderId="0" fillId="2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38"/>
    <col customWidth="1" min="2" max="2" width="15.5"/>
    <col customWidth="1" min="3" max="3" width="18.63"/>
    <col customWidth="1" min="5" max="5" width="6.88"/>
    <col customWidth="1" min="6" max="6" width="4.0"/>
    <col customWidth="1" min="7" max="7" width="6.38"/>
    <col customWidth="1" min="8" max="8" width="9.88"/>
    <col customWidth="1" min="9" max="9" width="8.63"/>
    <col customWidth="1" min="10" max="10" width="3.63"/>
    <col customWidth="1" min="11" max="11" width="10.0"/>
    <col customWidth="1" min="12" max="12" width="8.88"/>
    <col customWidth="1" min="13" max="13" width="9.38"/>
    <col customWidth="1" min="14" max="14" width="9.13"/>
    <col customWidth="1" min="15" max="15" width="8.0"/>
    <col customWidth="1" min="16" max="16" width="7.38"/>
    <col customWidth="1" min="17" max="17" width="3.38"/>
    <col customWidth="1" min="18" max="18" width="3.25"/>
    <col customWidth="1" min="19" max="22" width="6.13"/>
    <col customWidth="1" min="23" max="23" width="7.63"/>
    <col customWidth="1" min="24" max="24" width="6.13"/>
    <col customWidth="1" min="25" max="25" width="10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2" t="s">
        <v>24</v>
      </c>
    </row>
    <row r="2">
      <c r="A2" s="1" t="s">
        <v>25</v>
      </c>
      <c r="B2" s="1" t="s">
        <v>26</v>
      </c>
      <c r="C2" s="1" t="s">
        <v>26</v>
      </c>
      <c r="D2" s="2" t="s">
        <v>27</v>
      </c>
      <c r="E2" s="2" t="s">
        <v>28</v>
      </c>
      <c r="F2" s="3">
        <v>25.0</v>
      </c>
      <c r="G2" s="3">
        <v>17.0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88.0</v>
      </c>
      <c r="N2" s="3">
        <v>1496.0</v>
      </c>
      <c r="O2" s="3">
        <v>11.0</v>
      </c>
      <c r="P2" s="3">
        <v>2.0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4">
        <f t="shared" ref="X2:X308" si="1">(H2*0.04)+(I2*4)+(J2*-2)+(K2*0.1)+(L2*6)+M2+(N2*0.1)+(O2*6)+(P2*-2)+(Q2*2)+R2+(S2*3)+(T2*4)+(U2*5)+(V2*6)+(W2*-1)</f>
        <v>299.6</v>
      </c>
      <c r="Y2" s="4">
        <f t="shared" ref="Y2:Y308" si="2">X2/G2</f>
        <v>17.62352941</v>
      </c>
    </row>
    <row r="3">
      <c r="A3" s="1" t="s">
        <v>29</v>
      </c>
      <c r="B3" s="1" t="s">
        <v>30</v>
      </c>
      <c r="C3" s="1" t="s">
        <v>31</v>
      </c>
      <c r="D3" s="2" t="s">
        <v>32</v>
      </c>
      <c r="E3" s="2" t="s">
        <v>28</v>
      </c>
      <c r="F3" s="3">
        <v>34.0</v>
      </c>
      <c r="G3" s="3">
        <v>15.0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24.0</v>
      </c>
      <c r="N3" s="3">
        <v>236.0</v>
      </c>
      <c r="O3" s="3">
        <v>2.0</v>
      </c>
      <c r="P3" s="3">
        <v>0.0</v>
      </c>
      <c r="Q3" s="3">
        <v>1.0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4">
        <f t="shared" si="1"/>
        <v>61.6</v>
      </c>
      <c r="Y3" s="4">
        <f t="shared" si="2"/>
        <v>4.106666667</v>
      </c>
    </row>
    <row r="4">
      <c r="A4" s="1" t="s">
        <v>33</v>
      </c>
      <c r="B4" s="1" t="s">
        <v>31</v>
      </c>
      <c r="C4" s="1" t="s">
        <v>34</v>
      </c>
      <c r="D4" s="2" t="s">
        <v>35</v>
      </c>
      <c r="E4" s="2" t="s">
        <v>36</v>
      </c>
      <c r="F4" s="3">
        <v>27.0</v>
      </c>
      <c r="G4" s="3">
        <v>17.0</v>
      </c>
      <c r="H4" s="3">
        <v>0.0</v>
      </c>
      <c r="I4" s="3">
        <v>0.0</v>
      </c>
      <c r="J4" s="3">
        <v>0.0</v>
      </c>
      <c r="K4" s="3">
        <v>1121.0</v>
      </c>
      <c r="L4" s="3">
        <v>2.0</v>
      </c>
      <c r="M4" s="3">
        <v>59.0</v>
      </c>
      <c r="N4" s="3">
        <v>395.0</v>
      </c>
      <c r="O4" s="3">
        <v>5.0</v>
      </c>
      <c r="P4" s="3">
        <v>5.0</v>
      </c>
      <c r="Q4" s="3">
        <v>1.0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4">
        <f t="shared" si="1"/>
        <v>244.6</v>
      </c>
      <c r="Y4" s="4">
        <f t="shared" si="2"/>
        <v>14.38823529</v>
      </c>
    </row>
    <row r="5">
      <c r="A5" s="1" t="s">
        <v>37</v>
      </c>
      <c r="B5" s="1" t="s">
        <v>38</v>
      </c>
      <c r="C5" s="1" t="s">
        <v>38</v>
      </c>
      <c r="D5" s="2" t="s">
        <v>35</v>
      </c>
      <c r="E5" s="2" t="s">
        <v>39</v>
      </c>
      <c r="F5" s="3">
        <v>38.0</v>
      </c>
      <c r="G5" s="3">
        <v>17.0</v>
      </c>
      <c r="H5" s="3">
        <v>3695.0</v>
      </c>
      <c r="I5" s="3">
        <v>26.0</v>
      </c>
      <c r="J5" s="3">
        <v>12.0</v>
      </c>
      <c r="K5" s="3">
        <v>94.0</v>
      </c>
      <c r="L5" s="3">
        <v>1.0</v>
      </c>
      <c r="M5" s="3">
        <v>0.0</v>
      </c>
      <c r="N5" s="3">
        <v>0.0</v>
      </c>
      <c r="O5" s="3">
        <v>0.0</v>
      </c>
      <c r="P5" s="3">
        <v>8.0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4">
        <f t="shared" si="1"/>
        <v>227.2</v>
      </c>
      <c r="Y5" s="4">
        <f t="shared" si="2"/>
        <v>13.36470588</v>
      </c>
    </row>
    <row r="6">
      <c r="A6" s="1" t="s">
        <v>40</v>
      </c>
      <c r="B6" s="1" t="s">
        <v>41</v>
      </c>
      <c r="C6" s="1" t="s">
        <v>42</v>
      </c>
      <c r="D6" s="2" t="s">
        <v>43</v>
      </c>
      <c r="E6" s="2" t="s">
        <v>28</v>
      </c>
      <c r="F6" s="3">
        <v>32.0</v>
      </c>
      <c r="G6" s="3">
        <v>17.0</v>
      </c>
      <c r="H6" s="3">
        <v>0.0</v>
      </c>
      <c r="I6" s="3">
        <v>0.0</v>
      </c>
      <c r="J6" s="3">
        <v>0.0</v>
      </c>
      <c r="K6" s="3">
        <v>4.0</v>
      </c>
      <c r="L6" s="3">
        <v>0.0</v>
      </c>
      <c r="M6" s="3">
        <v>70.0</v>
      </c>
      <c r="N6" s="3">
        <v>716.0</v>
      </c>
      <c r="O6" s="3">
        <v>6.0</v>
      </c>
      <c r="P6" s="3">
        <v>0.0</v>
      </c>
      <c r="Q6" s="3">
        <v>1.0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4">
        <f t="shared" si="1"/>
        <v>180</v>
      </c>
      <c r="Y6" s="4">
        <f t="shared" si="2"/>
        <v>10.58823529</v>
      </c>
    </row>
    <row r="7">
      <c r="A7" s="1" t="s">
        <v>44</v>
      </c>
      <c r="B7" s="1" t="s">
        <v>45</v>
      </c>
      <c r="C7" s="1" t="s">
        <v>46</v>
      </c>
      <c r="D7" s="2" t="s">
        <v>35</v>
      </c>
      <c r="E7" s="2" t="s">
        <v>36</v>
      </c>
      <c r="F7" s="3">
        <v>24.0</v>
      </c>
      <c r="G7" s="3">
        <v>17.0</v>
      </c>
      <c r="H7" s="3">
        <v>0.0</v>
      </c>
      <c r="I7" s="3">
        <v>0.0</v>
      </c>
      <c r="J7" s="3">
        <v>0.0</v>
      </c>
      <c r="K7" s="3">
        <v>770.0</v>
      </c>
      <c r="L7" s="3">
        <v>7.0</v>
      </c>
      <c r="M7" s="3">
        <v>28.0</v>
      </c>
      <c r="N7" s="3">
        <v>206.0</v>
      </c>
      <c r="O7" s="3">
        <v>0.0</v>
      </c>
      <c r="P7" s="3">
        <v>1.0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4">
        <f t="shared" si="1"/>
        <v>165.6</v>
      </c>
      <c r="Y7" s="4">
        <f t="shared" si="2"/>
        <v>9.741176471</v>
      </c>
    </row>
    <row r="8">
      <c r="A8" s="1" t="s">
        <v>47</v>
      </c>
      <c r="B8" s="1" t="s">
        <v>48</v>
      </c>
      <c r="C8" s="1" t="s">
        <v>49</v>
      </c>
      <c r="D8" s="2" t="s">
        <v>50</v>
      </c>
      <c r="E8" s="2" t="s">
        <v>51</v>
      </c>
      <c r="F8" s="3">
        <v>24.0</v>
      </c>
      <c r="G8" s="3">
        <v>8.0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10.0</v>
      </c>
      <c r="N8" s="3">
        <v>95.0</v>
      </c>
      <c r="O8" s="3">
        <v>1.0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4">
        <f t="shared" si="1"/>
        <v>25.5</v>
      </c>
      <c r="Y8" s="4">
        <f t="shared" si="2"/>
        <v>3.1875</v>
      </c>
    </row>
    <row r="9">
      <c r="A9" s="1" t="s">
        <v>52</v>
      </c>
      <c r="B9" s="2" t="s">
        <v>48</v>
      </c>
      <c r="C9" s="1" t="s">
        <v>53</v>
      </c>
      <c r="D9" s="2" t="s">
        <v>54</v>
      </c>
      <c r="E9" s="2" t="s">
        <v>28</v>
      </c>
      <c r="F9" s="3">
        <v>22.0</v>
      </c>
      <c r="G9" s="3">
        <v>16.0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41.0</v>
      </c>
      <c r="N9" s="3">
        <v>593.0</v>
      </c>
      <c r="O9" s="3">
        <v>2.0</v>
      </c>
      <c r="P9" s="3">
        <v>1.0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4">
        <f t="shared" si="1"/>
        <v>110.3</v>
      </c>
      <c r="Y9" s="4">
        <f t="shared" si="2"/>
        <v>6.89375</v>
      </c>
    </row>
    <row r="10">
      <c r="A10" s="1" t="s">
        <v>55</v>
      </c>
      <c r="B10" s="1" t="s">
        <v>38</v>
      </c>
      <c r="C10" s="1" t="s">
        <v>56</v>
      </c>
      <c r="D10" s="2" t="s">
        <v>43</v>
      </c>
      <c r="E10" s="2" t="s">
        <v>36</v>
      </c>
      <c r="F10" s="3">
        <v>24.0</v>
      </c>
      <c r="G10" s="3">
        <v>17.0</v>
      </c>
      <c r="H10" s="3">
        <v>0.0</v>
      </c>
      <c r="I10" s="3">
        <v>0.0</v>
      </c>
      <c r="J10" s="3">
        <v>0.0</v>
      </c>
      <c r="K10" s="3">
        <v>283.0</v>
      </c>
      <c r="L10" s="3">
        <v>5.0</v>
      </c>
      <c r="M10" s="3">
        <v>15.0</v>
      </c>
      <c r="N10" s="3">
        <v>91.0</v>
      </c>
      <c r="O10" s="3">
        <v>1.0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4">
        <f t="shared" si="1"/>
        <v>88.4</v>
      </c>
      <c r="Y10" s="4">
        <f t="shared" si="2"/>
        <v>5.2</v>
      </c>
    </row>
    <row r="11">
      <c r="A11" s="1" t="s">
        <v>57</v>
      </c>
      <c r="B11" s="1" t="s">
        <v>58</v>
      </c>
      <c r="C11" s="1" t="s">
        <v>59</v>
      </c>
      <c r="D11" s="2" t="s">
        <v>35</v>
      </c>
      <c r="E11" s="2" t="s">
        <v>28</v>
      </c>
      <c r="F11" s="3">
        <v>26.0</v>
      </c>
      <c r="G11" s="3">
        <v>15.0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60.0</v>
      </c>
      <c r="N11" s="3">
        <v>788.0</v>
      </c>
      <c r="O11" s="3">
        <v>6.0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4">
        <f t="shared" si="1"/>
        <v>174.8</v>
      </c>
      <c r="Y11" s="4">
        <f t="shared" si="2"/>
        <v>11.65333333</v>
      </c>
    </row>
    <row r="12">
      <c r="A12" s="1" t="s">
        <v>60</v>
      </c>
      <c r="B12" s="1" t="s">
        <v>61</v>
      </c>
      <c r="C12" s="1" t="s">
        <v>62</v>
      </c>
      <c r="D12" s="2" t="s">
        <v>63</v>
      </c>
      <c r="E12" s="2" t="s">
        <v>28</v>
      </c>
      <c r="F12" s="3">
        <v>29.0</v>
      </c>
      <c r="G12" s="3">
        <v>10.0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33.0</v>
      </c>
      <c r="N12" s="3">
        <v>339.0</v>
      </c>
      <c r="O12" s="3">
        <v>3.0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4">
        <f t="shared" si="1"/>
        <v>84.9</v>
      </c>
      <c r="Y12" s="4">
        <f t="shared" si="2"/>
        <v>8.49</v>
      </c>
    </row>
    <row r="13">
      <c r="A13" s="1" t="s">
        <v>64</v>
      </c>
      <c r="B13" s="1" t="s">
        <v>31</v>
      </c>
      <c r="C13" s="1" t="s">
        <v>65</v>
      </c>
      <c r="D13" s="2" t="s">
        <v>66</v>
      </c>
      <c r="E13" s="2" t="s">
        <v>36</v>
      </c>
      <c r="F13" s="3">
        <v>27.0</v>
      </c>
      <c r="G13" s="3">
        <v>15.0</v>
      </c>
      <c r="H13" s="3">
        <v>0.0</v>
      </c>
      <c r="I13" s="3">
        <v>0.0</v>
      </c>
      <c r="J13" s="3">
        <v>0.0</v>
      </c>
      <c r="K13" s="3">
        <v>897.0</v>
      </c>
      <c r="L13" s="3">
        <v>2.0</v>
      </c>
      <c r="M13" s="3">
        <v>57.0</v>
      </c>
      <c r="N13" s="3">
        <v>490.0</v>
      </c>
      <c r="O13" s="3">
        <v>2.0</v>
      </c>
      <c r="P13" s="3">
        <v>4.0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4">
        <f t="shared" si="1"/>
        <v>211.7</v>
      </c>
      <c r="Y13" s="4">
        <f t="shared" si="2"/>
        <v>14.11333333</v>
      </c>
    </row>
    <row r="14">
      <c r="A14" s="1" t="s">
        <v>67</v>
      </c>
      <c r="B14" s="1" t="s">
        <v>68</v>
      </c>
      <c r="C14" s="1" t="s">
        <v>69</v>
      </c>
      <c r="D14" s="2" t="s">
        <v>70</v>
      </c>
      <c r="E14" s="2" t="s">
        <v>28</v>
      </c>
      <c r="F14" s="3">
        <v>28.0</v>
      </c>
      <c r="G14" s="3">
        <v>17.0</v>
      </c>
      <c r="H14" s="3">
        <v>0.0</v>
      </c>
      <c r="I14" s="3">
        <v>0.0</v>
      </c>
      <c r="J14" s="3">
        <v>1.0</v>
      </c>
      <c r="K14" s="3">
        <v>0.0</v>
      </c>
      <c r="L14" s="3">
        <v>0.0</v>
      </c>
      <c r="M14" s="3">
        <v>78.0</v>
      </c>
      <c r="N14" s="3">
        <v>1160.0</v>
      </c>
      <c r="O14" s="3">
        <v>9.0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4">
        <f t="shared" si="1"/>
        <v>246</v>
      </c>
      <c r="Y14" s="4">
        <f t="shared" si="2"/>
        <v>14.47058824</v>
      </c>
    </row>
    <row r="15">
      <c r="A15" s="5" t="s">
        <v>71</v>
      </c>
      <c r="B15" s="1" t="s">
        <v>69</v>
      </c>
      <c r="C15" s="1" t="s">
        <v>72</v>
      </c>
      <c r="D15" s="2" t="s">
        <v>73</v>
      </c>
      <c r="E15" s="2" t="s">
        <v>36</v>
      </c>
      <c r="F15" s="3">
        <v>29.0</v>
      </c>
      <c r="G15" s="3">
        <v>17.0</v>
      </c>
      <c r="H15" s="3">
        <v>0.0</v>
      </c>
      <c r="I15" s="3">
        <v>0.0</v>
      </c>
      <c r="J15" s="3">
        <v>0.0</v>
      </c>
      <c r="K15" s="3">
        <v>20.0</v>
      </c>
      <c r="L15" s="3">
        <v>0.0</v>
      </c>
      <c r="M15" s="3">
        <v>25.0</v>
      </c>
      <c r="N15" s="3">
        <v>211.0</v>
      </c>
      <c r="O15" s="3">
        <v>1.0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4">
        <f t="shared" si="1"/>
        <v>54.1</v>
      </c>
      <c r="Y15" s="4">
        <f t="shared" si="2"/>
        <v>3.182352941</v>
      </c>
    </row>
    <row r="16">
      <c r="A16" s="1" t="s">
        <v>74</v>
      </c>
      <c r="B16" s="1" t="s">
        <v>75</v>
      </c>
      <c r="C16" s="1" t="s">
        <v>76</v>
      </c>
      <c r="D16" s="2" t="s">
        <v>77</v>
      </c>
      <c r="E16" s="2" t="s">
        <v>28</v>
      </c>
      <c r="F16" s="3">
        <v>22.0</v>
      </c>
      <c r="G16" s="3">
        <v>16.0</v>
      </c>
      <c r="H16" s="3">
        <v>0.0</v>
      </c>
      <c r="I16" s="3">
        <v>0.0</v>
      </c>
      <c r="J16" s="3">
        <v>0.0</v>
      </c>
      <c r="K16" s="3">
        <v>95.0</v>
      </c>
      <c r="L16" s="3">
        <v>0.0</v>
      </c>
      <c r="M16" s="3">
        <v>106.0</v>
      </c>
      <c r="N16" s="3">
        <v>1161.0</v>
      </c>
      <c r="O16" s="3">
        <v>6.0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4">
        <f t="shared" si="1"/>
        <v>267.6</v>
      </c>
      <c r="Y16" s="4">
        <f t="shared" si="2"/>
        <v>16.725</v>
      </c>
    </row>
    <row r="17">
      <c r="A17" s="1" t="s">
        <v>78</v>
      </c>
      <c r="B17" s="1" t="s">
        <v>79</v>
      </c>
      <c r="C17" s="1" t="s">
        <v>80</v>
      </c>
      <c r="D17" s="2" t="s">
        <v>66</v>
      </c>
      <c r="E17" s="2" t="s">
        <v>39</v>
      </c>
      <c r="F17" s="3">
        <v>34.0</v>
      </c>
      <c r="G17" s="3">
        <v>14.0</v>
      </c>
      <c r="H17" s="3">
        <v>2871.0</v>
      </c>
      <c r="I17" s="3">
        <v>18.0</v>
      </c>
      <c r="J17" s="3">
        <v>9.0</v>
      </c>
      <c r="K17" s="3">
        <v>54.0</v>
      </c>
      <c r="L17" s="3">
        <v>0.0</v>
      </c>
      <c r="M17" s="3">
        <v>0.0</v>
      </c>
      <c r="N17" s="3">
        <v>0.0</v>
      </c>
      <c r="O17" s="3">
        <v>0.0</v>
      </c>
      <c r="P17" s="3">
        <v>5.0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4">
        <f t="shared" si="1"/>
        <v>164.24</v>
      </c>
      <c r="Y17" s="4">
        <f t="shared" si="2"/>
        <v>11.73142857</v>
      </c>
    </row>
    <row r="18">
      <c r="A18" s="1" t="s">
        <v>81</v>
      </c>
      <c r="B18" s="1" t="s">
        <v>31</v>
      </c>
      <c r="C18" s="1" t="s">
        <v>82</v>
      </c>
      <c r="D18" s="2" t="s">
        <v>83</v>
      </c>
      <c r="E18" s="2" t="s">
        <v>36</v>
      </c>
      <c r="F18" s="3">
        <v>24.0</v>
      </c>
      <c r="G18" s="3">
        <v>15.0</v>
      </c>
      <c r="H18" s="3">
        <v>0.0</v>
      </c>
      <c r="I18" s="3">
        <v>0.0</v>
      </c>
      <c r="J18" s="3">
        <v>0.0</v>
      </c>
      <c r="K18" s="3">
        <v>546.0</v>
      </c>
      <c r="L18" s="3">
        <v>3.0</v>
      </c>
      <c r="M18" s="3">
        <v>46.0</v>
      </c>
      <c r="N18" s="3">
        <v>353.0</v>
      </c>
      <c r="O18" s="3">
        <v>2.0</v>
      </c>
      <c r="P18" s="3">
        <v>1.0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4">
        <f t="shared" si="1"/>
        <v>163.9</v>
      </c>
      <c r="Y18" s="4">
        <f t="shared" si="2"/>
        <v>10.92666667</v>
      </c>
    </row>
    <row r="19">
      <c r="A19" s="1" t="s">
        <v>84</v>
      </c>
      <c r="B19" s="1" t="s">
        <v>85</v>
      </c>
      <c r="C19" s="1" t="s">
        <v>86</v>
      </c>
      <c r="D19" s="2" t="s">
        <v>54</v>
      </c>
      <c r="E19" s="2" t="s">
        <v>28</v>
      </c>
      <c r="F19" s="3">
        <v>25.0</v>
      </c>
      <c r="G19" s="3">
        <v>12.0</v>
      </c>
      <c r="H19" s="3">
        <v>0.0</v>
      </c>
      <c r="I19" s="3">
        <v>0.0</v>
      </c>
      <c r="J19" s="3">
        <v>0.0</v>
      </c>
      <c r="K19" s="3">
        <v>8.0</v>
      </c>
      <c r="L19" s="3">
        <v>0.0</v>
      </c>
      <c r="M19" s="3">
        <v>15.0</v>
      </c>
      <c r="N19" s="3">
        <v>207.0</v>
      </c>
      <c r="O19" s="3">
        <v>1.0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4">
        <f t="shared" si="1"/>
        <v>42.5</v>
      </c>
      <c r="Y19" s="4">
        <f t="shared" si="2"/>
        <v>3.541666667</v>
      </c>
    </row>
    <row r="20">
      <c r="A20" s="1" t="s">
        <v>87</v>
      </c>
      <c r="B20" s="1" t="s">
        <v>72</v>
      </c>
      <c r="C20" s="1" t="s">
        <v>88</v>
      </c>
      <c r="D20" s="2" t="s">
        <v>89</v>
      </c>
      <c r="E20" s="2" t="s">
        <v>36</v>
      </c>
      <c r="F20" s="3">
        <v>27.0</v>
      </c>
      <c r="G20" s="3">
        <v>17.0</v>
      </c>
      <c r="H20" s="3">
        <v>0.0</v>
      </c>
      <c r="I20" s="3">
        <v>0.0</v>
      </c>
      <c r="J20" s="3">
        <v>0.0</v>
      </c>
      <c r="K20" s="3">
        <v>915.0</v>
      </c>
      <c r="L20" s="3">
        <v>13.0</v>
      </c>
      <c r="M20" s="3">
        <v>107.0</v>
      </c>
      <c r="N20" s="3">
        <v>722.0</v>
      </c>
      <c r="O20" s="3">
        <v>5.0</v>
      </c>
      <c r="P20" s="3">
        <v>5.0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4">
        <f t="shared" si="1"/>
        <v>368.7</v>
      </c>
      <c r="Y20" s="4">
        <f t="shared" si="2"/>
        <v>21.68823529</v>
      </c>
    </row>
    <row r="21">
      <c r="A21" s="1" t="s">
        <v>90</v>
      </c>
      <c r="B21" s="1" t="s">
        <v>38</v>
      </c>
      <c r="C21" s="1" t="s">
        <v>91</v>
      </c>
      <c r="D21" s="2" t="s">
        <v>92</v>
      </c>
      <c r="E21" s="2" t="s">
        <v>51</v>
      </c>
      <c r="F21" s="3">
        <v>27.0</v>
      </c>
      <c r="G21" s="3">
        <v>17.0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41.0</v>
      </c>
      <c r="N21" s="3">
        <v>444.0</v>
      </c>
      <c r="O21" s="3">
        <v>2.0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4">
        <f t="shared" si="1"/>
        <v>97.4</v>
      </c>
      <c r="Y21" s="4">
        <f t="shared" si="2"/>
        <v>5.729411765</v>
      </c>
    </row>
    <row r="22">
      <c r="A22" s="1" t="s">
        <v>93</v>
      </c>
      <c r="B22" s="1" t="s">
        <v>79</v>
      </c>
      <c r="C22" s="1" t="s">
        <v>94</v>
      </c>
      <c r="D22" s="2" t="s">
        <v>95</v>
      </c>
      <c r="E22" s="2" t="s">
        <v>39</v>
      </c>
      <c r="F22" s="3">
        <v>27.0</v>
      </c>
      <c r="G22" s="3">
        <v>12.0</v>
      </c>
      <c r="H22" s="3">
        <v>2163.0</v>
      </c>
      <c r="I22" s="3">
        <v>10.0</v>
      </c>
      <c r="J22" s="3">
        <v>8.0</v>
      </c>
      <c r="K22" s="3">
        <v>89.0</v>
      </c>
      <c r="L22" s="3">
        <v>1.0</v>
      </c>
      <c r="M22" s="3">
        <v>0.0</v>
      </c>
      <c r="N22" s="3">
        <v>0.0</v>
      </c>
      <c r="O22" s="3">
        <v>0.0</v>
      </c>
      <c r="P22" s="3">
        <v>9.0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4">
        <f t="shared" si="1"/>
        <v>107.42</v>
      </c>
      <c r="Y22" s="4">
        <f t="shared" si="2"/>
        <v>8.951666667</v>
      </c>
    </row>
    <row r="23">
      <c r="A23" s="1" t="s">
        <v>96</v>
      </c>
      <c r="B23" s="1" t="s">
        <v>97</v>
      </c>
      <c r="C23" s="1" t="s">
        <v>98</v>
      </c>
      <c r="D23" s="2" t="s">
        <v>63</v>
      </c>
      <c r="E23" s="2" t="s">
        <v>28</v>
      </c>
      <c r="F23" s="3">
        <v>25.0</v>
      </c>
      <c r="G23" s="3">
        <v>14.0</v>
      </c>
      <c r="H23" s="3">
        <v>0.0</v>
      </c>
      <c r="I23" s="3">
        <v>0.0</v>
      </c>
      <c r="J23" s="3">
        <v>0.0</v>
      </c>
      <c r="K23" s="3">
        <v>17.0</v>
      </c>
      <c r="L23" s="3">
        <v>1.0</v>
      </c>
      <c r="M23" s="3">
        <v>39.0</v>
      </c>
      <c r="N23" s="3">
        <v>376.0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4">
        <f t="shared" si="1"/>
        <v>84.3</v>
      </c>
      <c r="Y23" s="4">
        <f t="shared" si="2"/>
        <v>6.021428571</v>
      </c>
    </row>
    <row r="24">
      <c r="A24" s="1" t="s">
        <v>99</v>
      </c>
      <c r="B24" s="1" t="s">
        <v>100</v>
      </c>
      <c r="C24" s="1" t="s">
        <v>101</v>
      </c>
      <c r="D24" s="2" t="s">
        <v>27</v>
      </c>
      <c r="E24" s="2" t="s">
        <v>36</v>
      </c>
      <c r="F24" s="3">
        <v>27.0</v>
      </c>
      <c r="G24" s="3">
        <v>15.0</v>
      </c>
      <c r="H24" s="3">
        <v>0.0</v>
      </c>
      <c r="I24" s="3">
        <v>0.0</v>
      </c>
      <c r="J24" s="3">
        <v>0.0</v>
      </c>
      <c r="K24" s="3">
        <v>217.0</v>
      </c>
      <c r="L24" s="3">
        <v>3.0</v>
      </c>
      <c r="M24" s="3">
        <v>5.0</v>
      </c>
      <c r="N24" s="3">
        <v>15.0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4">
        <f t="shared" si="1"/>
        <v>46.2</v>
      </c>
      <c r="Y24" s="4">
        <f t="shared" si="2"/>
        <v>3.08</v>
      </c>
    </row>
    <row r="25">
      <c r="A25" s="1" t="s">
        <v>102</v>
      </c>
      <c r="B25" s="1" t="s">
        <v>75</v>
      </c>
      <c r="C25" s="1" t="s">
        <v>103</v>
      </c>
      <c r="D25" s="2" t="s">
        <v>104</v>
      </c>
      <c r="E25" s="2" t="s">
        <v>28</v>
      </c>
      <c r="F25" s="3">
        <v>28.0</v>
      </c>
      <c r="G25" s="3">
        <v>13.0</v>
      </c>
      <c r="H25" s="3">
        <v>0.0</v>
      </c>
      <c r="I25" s="3">
        <v>0.0</v>
      </c>
      <c r="J25" s="3">
        <v>0.0</v>
      </c>
      <c r="K25" s="3">
        <v>7.0</v>
      </c>
      <c r="L25" s="3">
        <v>0.0</v>
      </c>
      <c r="M25" s="3">
        <v>57.0</v>
      </c>
      <c r="N25" s="3">
        <v>699.0</v>
      </c>
      <c r="O25" s="3">
        <v>3.0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4">
        <f t="shared" si="1"/>
        <v>145.6</v>
      </c>
      <c r="Y25" s="4">
        <f t="shared" si="2"/>
        <v>11.2</v>
      </c>
    </row>
    <row r="26">
      <c r="A26" s="5" t="s">
        <v>105</v>
      </c>
      <c r="B26" s="1" t="s">
        <v>106</v>
      </c>
      <c r="C26" s="1" t="s">
        <v>107</v>
      </c>
      <c r="D26" s="2" t="s">
        <v>108</v>
      </c>
      <c r="E26" s="2" t="s">
        <v>28</v>
      </c>
      <c r="F26" s="3">
        <v>24.0</v>
      </c>
      <c r="G26" s="3">
        <v>17.0</v>
      </c>
      <c r="H26" s="3">
        <v>0.0</v>
      </c>
      <c r="I26" s="3">
        <v>0.0</v>
      </c>
      <c r="J26" s="3">
        <v>0.0</v>
      </c>
      <c r="K26" s="3">
        <v>23.0</v>
      </c>
      <c r="L26" s="3">
        <v>0.0</v>
      </c>
      <c r="M26" s="3">
        <v>78.0</v>
      </c>
      <c r="N26" s="3">
        <v>1015.0</v>
      </c>
      <c r="O26" s="3">
        <v>8.0</v>
      </c>
      <c r="P26" s="3">
        <v>1.0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4">
        <f t="shared" si="1"/>
        <v>227.8</v>
      </c>
      <c r="Y26" s="4">
        <f t="shared" si="2"/>
        <v>13.4</v>
      </c>
    </row>
    <row r="27">
      <c r="A27" s="1" t="s">
        <v>109</v>
      </c>
      <c r="B27" s="1" t="s">
        <v>110</v>
      </c>
      <c r="C27" s="1" t="s">
        <v>111</v>
      </c>
      <c r="D27" s="2" t="s">
        <v>50</v>
      </c>
      <c r="E27" s="2" t="s">
        <v>112</v>
      </c>
      <c r="F27" s="3">
        <v>31.0</v>
      </c>
      <c r="G27" s="3">
        <v>17.0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25.0</v>
      </c>
      <c r="S27" s="3">
        <v>10.0</v>
      </c>
      <c r="T27" s="3">
        <v>10.0</v>
      </c>
      <c r="U27" s="3">
        <v>8.0</v>
      </c>
      <c r="V27" s="3">
        <v>0.0</v>
      </c>
      <c r="W27" s="3">
        <v>8.0</v>
      </c>
      <c r="X27" s="4">
        <f t="shared" si="1"/>
        <v>127</v>
      </c>
      <c r="Y27" s="4">
        <f t="shared" si="2"/>
        <v>7.470588235</v>
      </c>
    </row>
    <row r="28">
      <c r="A28" s="1" t="s">
        <v>113</v>
      </c>
      <c r="B28" s="1" t="s">
        <v>114</v>
      </c>
      <c r="C28" s="1" t="s">
        <v>115</v>
      </c>
      <c r="D28" s="2" t="s">
        <v>116</v>
      </c>
      <c r="E28" s="2" t="s">
        <v>28</v>
      </c>
      <c r="F28" s="3">
        <v>26.0</v>
      </c>
      <c r="G28" s="3">
        <v>17.0</v>
      </c>
      <c r="H28" s="3">
        <v>2.0</v>
      </c>
      <c r="I28" s="3">
        <v>1.0</v>
      </c>
      <c r="J28" s="3">
        <v>0.0</v>
      </c>
      <c r="K28" s="3">
        <v>91.0</v>
      </c>
      <c r="L28" s="3">
        <v>2.0</v>
      </c>
      <c r="M28" s="3">
        <v>18.0</v>
      </c>
      <c r="N28" s="3">
        <v>145.0</v>
      </c>
      <c r="O28" s="3">
        <v>0.0</v>
      </c>
      <c r="P28" s="3">
        <v>1.0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4">
        <f t="shared" si="1"/>
        <v>55.68</v>
      </c>
      <c r="Y28" s="4">
        <f t="shared" si="2"/>
        <v>3.275294118</v>
      </c>
    </row>
    <row r="29">
      <c r="A29" s="1" t="s">
        <v>117</v>
      </c>
      <c r="B29" s="1" t="s">
        <v>72</v>
      </c>
      <c r="C29" s="1" t="s">
        <v>72</v>
      </c>
      <c r="D29" s="2" t="s">
        <v>118</v>
      </c>
      <c r="E29" s="2" t="s">
        <v>112</v>
      </c>
      <c r="F29" s="3">
        <v>32.0</v>
      </c>
      <c r="G29" s="3">
        <v>17.0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6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50.0</v>
      </c>
      <c r="S29" s="3">
        <v>14.0</v>
      </c>
      <c r="T29" s="3">
        <v>6.0</v>
      </c>
      <c r="U29" s="3">
        <v>8.0</v>
      </c>
      <c r="V29" s="3">
        <v>1.0</v>
      </c>
      <c r="W29" s="3">
        <v>3.0</v>
      </c>
      <c r="X29" s="4">
        <f t="shared" si="1"/>
        <v>159</v>
      </c>
      <c r="Y29" s="4">
        <f t="shared" si="2"/>
        <v>9.352941176</v>
      </c>
    </row>
    <row r="30">
      <c r="A30" s="1" t="s">
        <v>119</v>
      </c>
      <c r="B30" s="1" t="s">
        <v>69</v>
      </c>
      <c r="C30" s="1" t="s">
        <v>69</v>
      </c>
      <c r="D30" s="2" t="s">
        <v>83</v>
      </c>
      <c r="E30" s="2" t="s">
        <v>36</v>
      </c>
      <c r="F30" s="3">
        <v>23.0</v>
      </c>
      <c r="G30" s="3">
        <v>12.0</v>
      </c>
      <c r="H30" s="3">
        <v>0.0</v>
      </c>
      <c r="I30" s="3">
        <v>0.0</v>
      </c>
      <c r="J30" s="3">
        <v>0.0</v>
      </c>
      <c r="K30" s="3">
        <v>797.0</v>
      </c>
      <c r="L30" s="3">
        <v>2.0</v>
      </c>
      <c r="M30" s="3">
        <v>9.0</v>
      </c>
      <c r="N30" s="3">
        <v>60.0</v>
      </c>
      <c r="O30" s="3">
        <v>1.0</v>
      </c>
      <c r="P30" s="3">
        <v>2.0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4">
        <f t="shared" si="1"/>
        <v>108.7</v>
      </c>
      <c r="Y30" s="4">
        <f t="shared" si="2"/>
        <v>9.058333333</v>
      </c>
    </row>
    <row r="31">
      <c r="A31" s="1" t="s">
        <v>120</v>
      </c>
      <c r="B31" s="2" t="s">
        <v>121</v>
      </c>
      <c r="C31" s="1" t="s">
        <v>59</v>
      </c>
      <c r="D31" s="2" t="s">
        <v>108</v>
      </c>
      <c r="E31" s="2" t="s">
        <v>39</v>
      </c>
      <c r="F31" s="3">
        <v>22.0</v>
      </c>
      <c r="G31" s="3">
        <v>9.0</v>
      </c>
      <c r="H31" s="3">
        <v>1374.0</v>
      </c>
      <c r="I31" s="3">
        <v>13.0</v>
      </c>
      <c r="J31" s="3">
        <v>4.0</v>
      </c>
      <c r="K31" s="3">
        <v>13.0</v>
      </c>
      <c r="L31" s="3">
        <v>1.0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4">
        <f t="shared" si="1"/>
        <v>106.26</v>
      </c>
      <c r="Y31" s="4">
        <f t="shared" si="2"/>
        <v>11.80666667</v>
      </c>
    </row>
    <row r="32">
      <c r="A32" s="1" t="s">
        <v>122</v>
      </c>
      <c r="B32" s="1" t="s">
        <v>68</v>
      </c>
      <c r="C32" s="1" t="s">
        <v>123</v>
      </c>
      <c r="D32" s="2" t="s">
        <v>124</v>
      </c>
      <c r="E32" s="2" t="s">
        <v>28</v>
      </c>
      <c r="F32" s="3">
        <v>28.0</v>
      </c>
      <c r="G32" s="3">
        <v>11.0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10.0</v>
      </c>
      <c r="N32" s="3">
        <v>135.0</v>
      </c>
      <c r="O32" s="3">
        <v>2.0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4">
        <f t="shared" si="1"/>
        <v>35.5</v>
      </c>
      <c r="Y32" s="4">
        <f t="shared" si="2"/>
        <v>3.227272727</v>
      </c>
    </row>
    <row r="33">
      <c r="A33" s="1" t="s">
        <v>125</v>
      </c>
      <c r="B33" s="1" t="s">
        <v>31</v>
      </c>
      <c r="C33" s="1" t="s">
        <v>126</v>
      </c>
      <c r="D33" s="2" t="s">
        <v>116</v>
      </c>
      <c r="E33" s="2" t="s">
        <v>51</v>
      </c>
      <c r="F33" s="3">
        <v>29.0</v>
      </c>
      <c r="G33" s="3">
        <v>15.0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21.0</v>
      </c>
      <c r="N33" s="3">
        <v>232.0</v>
      </c>
      <c r="O33" s="3">
        <v>2.0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4">
        <f t="shared" si="1"/>
        <v>56.2</v>
      </c>
      <c r="Y33" s="4">
        <f t="shared" si="2"/>
        <v>3.746666667</v>
      </c>
    </row>
    <row r="34">
      <c r="A34" s="1" t="s">
        <v>127</v>
      </c>
      <c r="B34" s="2" t="s">
        <v>128</v>
      </c>
      <c r="C34" s="1" t="s">
        <v>128</v>
      </c>
      <c r="D34" s="2" t="s">
        <v>129</v>
      </c>
      <c r="E34" s="2" t="s">
        <v>51</v>
      </c>
      <c r="F34" s="3">
        <v>23.0</v>
      </c>
      <c r="G34" s="3">
        <v>16.0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42.0</v>
      </c>
      <c r="N34" s="3">
        <v>391.0</v>
      </c>
      <c r="O34" s="3">
        <v>2.0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4">
        <f t="shared" si="1"/>
        <v>93.1</v>
      </c>
      <c r="Y34" s="4">
        <f t="shared" si="2"/>
        <v>5.81875</v>
      </c>
    </row>
    <row r="35">
      <c r="A35" s="1" t="s">
        <v>130</v>
      </c>
      <c r="B35" s="2" t="s">
        <v>79</v>
      </c>
      <c r="C35" s="1" t="s">
        <v>131</v>
      </c>
      <c r="D35" s="2" t="s">
        <v>70</v>
      </c>
      <c r="E35" s="2" t="s">
        <v>112</v>
      </c>
      <c r="F35" s="3">
        <v>21.0</v>
      </c>
      <c r="G35" s="3">
        <v>17.0</v>
      </c>
      <c r="H35" s="3">
        <v>0.0</v>
      </c>
      <c r="I35" s="3">
        <v>0.0</v>
      </c>
      <c r="J35" s="6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35.0</v>
      </c>
      <c r="S35" s="3">
        <v>14.0</v>
      </c>
      <c r="T35" s="3">
        <v>6.0</v>
      </c>
      <c r="U35" s="3">
        <v>4.0</v>
      </c>
      <c r="V35" s="3">
        <v>0.0</v>
      </c>
      <c r="W35" s="3">
        <v>8.0</v>
      </c>
      <c r="X35" s="4">
        <f t="shared" si="1"/>
        <v>113</v>
      </c>
      <c r="Y35" s="4">
        <f t="shared" si="2"/>
        <v>6.647058824</v>
      </c>
    </row>
    <row r="36">
      <c r="A36" s="1" t="s">
        <v>132</v>
      </c>
      <c r="B36" s="1" t="s">
        <v>133</v>
      </c>
      <c r="C36" s="1" t="s">
        <v>134</v>
      </c>
      <c r="D36" s="2" t="s">
        <v>124</v>
      </c>
      <c r="E36" s="2" t="s">
        <v>112</v>
      </c>
      <c r="F36" s="3">
        <v>30.0</v>
      </c>
      <c r="G36" s="3">
        <v>16.0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27.0</v>
      </c>
      <c r="S36" s="3">
        <v>11.0</v>
      </c>
      <c r="T36" s="3">
        <v>6.0</v>
      </c>
      <c r="U36" s="3">
        <v>4.0</v>
      </c>
      <c r="V36" s="3">
        <v>0.0</v>
      </c>
      <c r="W36" s="3">
        <v>2.0</v>
      </c>
      <c r="X36" s="4">
        <f t="shared" si="1"/>
        <v>102</v>
      </c>
      <c r="Y36" s="4">
        <f t="shared" si="2"/>
        <v>6.375</v>
      </c>
    </row>
    <row r="37">
      <c r="A37" s="1" t="s">
        <v>135</v>
      </c>
      <c r="B37" s="2" t="s">
        <v>31</v>
      </c>
      <c r="C37" s="1" t="s">
        <v>136</v>
      </c>
      <c r="D37" s="2" t="s">
        <v>137</v>
      </c>
      <c r="E37" s="2" t="s">
        <v>36</v>
      </c>
      <c r="F37" s="3">
        <v>23.0</v>
      </c>
      <c r="G37" s="3">
        <v>12.0</v>
      </c>
      <c r="H37" s="3">
        <v>0.0</v>
      </c>
      <c r="I37" s="3">
        <v>0.0</v>
      </c>
      <c r="J37" s="3">
        <v>0.0</v>
      </c>
      <c r="K37" s="3">
        <v>366.0</v>
      </c>
      <c r="L37" s="3">
        <v>1.0</v>
      </c>
      <c r="M37" s="3">
        <v>2.0</v>
      </c>
      <c r="N37" s="3">
        <v>3.0</v>
      </c>
      <c r="O37" s="3">
        <v>0.0</v>
      </c>
      <c r="P37" s="3">
        <v>1.0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0.0</v>
      </c>
      <c r="X37" s="4">
        <f t="shared" si="1"/>
        <v>42.9</v>
      </c>
      <c r="Y37" s="4">
        <f t="shared" si="2"/>
        <v>3.575</v>
      </c>
    </row>
    <row r="38">
      <c r="A38" s="5" t="s">
        <v>138</v>
      </c>
      <c r="B38" s="1" t="s">
        <v>26</v>
      </c>
      <c r="C38" s="1" t="s">
        <v>139</v>
      </c>
      <c r="D38" s="2" t="s">
        <v>63</v>
      </c>
      <c r="E38" s="2" t="s">
        <v>36</v>
      </c>
      <c r="F38" s="3">
        <v>23.0</v>
      </c>
      <c r="G38" s="3">
        <v>15.0</v>
      </c>
      <c r="H38" s="3">
        <v>0.0</v>
      </c>
      <c r="I38" s="3">
        <v>0.0</v>
      </c>
      <c r="J38" s="3">
        <v>0.0</v>
      </c>
      <c r="K38" s="3">
        <v>786.0</v>
      </c>
      <c r="L38" s="3">
        <v>7.0</v>
      </c>
      <c r="M38" s="3">
        <v>13.0</v>
      </c>
      <c r="N38" s="3">
        <v>117.0</v>
      </c>
      <c r="O38" s="3">
        <v>0.0</v>
      </c>
      <c r="P38" s="3">
        <v>2.0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4">
        <f t="shared" si="1"/>
        <v>141.3</v>
      </c>
      <c r="Y38" s="4">
        <f t="shared" si="2"/>
        <v>9.42</v>
      </c>
    </row>
    <row r="39">
      <c r="A39" s="1" t="s">
        <v>140</v>
      </c>
      <c r="B39" s="1" t="s">
        <v>48</v>
      </c>
      <c r="C39" s="1" t="s">
        <v>141</v>
      </c>
      <c r="D39" s="2" t="s">
        <v>129</v>
      </c>
      <c r="E39" s="2" t="s">
        <v>51</v>
      </c>
      <c r="F39" s="3">
        <v>31.0</v>
      </c>
      <c r="G39" s="3">
        <v>11.0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20.0</v>
      </c>
      <c r="N39" s="3">
        <v>174.0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4">
        <f t="shared" si="1"/>
        <v>37.4</v>
      </c>
      <c r="Y39" s="4">
        <f t="shared" si="2"/>
        <v>3.4</v>
      </c>
    </row>
    <row r="40">
      <c r="A40" s="1" t="s">
        <v>142</v>
      </c>
      <c r="B40" s="1" t="s">
        <v>143</v>
      </c>
      <c r="C40" s="1" t="s">
        <v>79</v>
      </c>
      <c r="D40" s="2" t="s">
        <v>89</v>
      </c>
      <c r="E40" s="2" t="s">
        <v>112</v>
      </c>
      <c r="F40" s="3">
        <v>22.0</v>
      </c>
      <c r="G40" s="3">
        <v>11.0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24.0</v>
      </c>
      <c r="S40" s="3">
        <v>14.0</v>
      </c>
      <c r="T40" s="3">
        <v>7.0</v>
      </c>
      <c r="U40" s="3">
        <v>0.0</v>
      </c>
      <c r="V40" s="3">
        <v>0.0</v>
      </c>
      <c r="W40" s="3">
        <v>1.0</v>
      </c>
      <c r="X40" s="4">
        <f t="shared" si="1"/>
        <v>93</v>
      </c>
      <c r="Y40" s="4">
        <f t="shared" si="2"/>
        <v>8.454545455</v>
      </c>
    </row>
    <row r="41">
      <c r="A41" s="1" t="s">
        <v>144</v>
      </c>
      <c r="B41" s="1" t="s">
        <v>114</v>
      </c>
      <c r="C41" s="1" t="s">
        <v>145</v>
      </c>
      <c r="D41" s="2" t="s">
        <v>83</v>
      </c>
      <c r="E41" s="2" t="s">
        <v>39</v>
      </c>
      <c r="F41" s="3">
        <v>29.0</v>
      </c>
      <c r="G41" s="3">
        <v>8.0</v>
      </c>
      <c r="H41" s="3">
        <v>1755.0</v>
      </c>
      <c r="I41" s="3">
        <v>11.0</v>
      </c>
      <c r="J41" s="3">
        <v>9.0</v>
      </c>
      <c r="K41" s="3">
        <v>86.0</v>
      </c>
      <c r="L41" s="3">
        <v>1.0</v>
      </c>
      <c r="M41" s="3">
        <v>0.0</v>
      </c>
      <c r="N41" s="3">
        <v>0.0</v>
      </c>
      <c r="O41" s="3">
        <v>0.0</v>
      </c>
      <c r="P41" s="3">
        <v>6.0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4">
        <f t="shared" si="1"/>
        <v>98.8</v>
      </c>
      <c r="Y41" s="4">
        <f t="shared" si="2"/>
        <v>12.35</v>
      </c>
    </row>
    <row r="42">
      <c r="A42" s="1" t="s">
        <v>146</v>
      </c>
      <c r="B42" s="1" t="s">
        <v>100</v>
      </c>
      <c r="C42" s="1" t="s">
        <v>94</v>
      </c>
      <c r="D42" s="2" t="s">
        <v>118</v>
      </c>
      <c r="E42" s="2" t="s">
        <v>28</v>
      </c>
      <c r="F42" s="3">
        <v>23.0</v>
      </c>
      <c r="G42" s="3">
        <v>17.0</v>
      </c>
      <c r="H42" s="3">
        <v>0.0</v>
      </c>
      <c r="I42" s="3">
        <v>0.0</v>
      </c>
      <c r="J42" s="3">
        <v>0.0</v>
      </c>
      <c r="K42" s="3">
        <v>47.0</v>
      </c>
      <c r="L42" s="3">
        <v>0.0</v>
      </c>
      <c r="M42" s="3">
        <v>107.0</v>
      </c>
      <c r="N42" s="3">
        <v>1359.0</v>
      </c>
      <c r="O42" s="3">
        <v>9.0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4">
        <f t="shared" si="1"/>
        <v>301.6</v>
      </c>
      <c r="Y42" s="4">
        <f t="shared" si="2"/>
        <v>17.74117647</v>
      </c>
    </row>
    <row r="43">
      <c r="A43" s="1" t="s">
        <v>147</v>
      </c>
      <c r="B43" s="1" t="s">
        <v>148</v>
      </c>
      <c r="C43" s="1" t="s">
        <v>98</v>
      </c>
      <c r="D43" s="2" t="s">
        <v>149</v>
      </c>
      <c r="E43" s="2" t="s">
        <v>28</v>
      </c>
      <c r="F43" s="3">
        <v>24.0</v>
      </c>
      <c r="G43" s="3">
        <v>15.0</v>
      </c>
      <c r="H43" s="3">
        <v>1.0</v>
      </c>
      <c r="I43" s="3">
        <v>1.0</v>
      </c>
      <c r="J43" s="3">
        <v>0.0</v>
      </c>
      <c r="K43" s="3">
        <v>59.0</v>
      </c>
      <c r="L43" s="3">
        <v>0.0</v>
      </c>
      <c r="M43" s="3">
        <v>46.0</v>
      </c>
      <c r="N43" s="3">
        <v>451.0</v>
      </c>
      <c r="O43" s="3">
        <v>1.0</v>
      </c>
      <c r="P43" s="3">
        <v>1.0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  <c r="X43" s="4">
        <f t="shared" si="1"/>
        <v>105.04</v>
      </c>
      <c r="Y43" s="4">
        <f t="shared" si="2"/>
        <v>7.002666667</v>
      </c>
    </row>
    <row r="44">
      <c r="A44" s="1" t="s">
        <v>150</v>
      </c>
      <c r="B44" s="1" t="s">
        <v>110</v>
      </c>
      <c r="C44" s="1" t="s">
        <v>151</v>
      </c>
      <c r="D44" s="2" t="s">
        <v>152</v>
      </c>
      <c r="E44" s="2" t="s">
        <v>36</v>
      </c>
      <c r="F44" s="3">
        <v>26.0</v>
      </c>
      <c r="G44" s="3">
        <v>13.0</v>
      </c>
      <c r="H44" s="3">
        <v>0.0</v>
      </c>
      <c r="I44" s="3">
        <v>0.0</v>
      </c>
      <c r="J44" s="3">
        <v>0.0</v>
      </c>
      <c r="K44" s="3">
        <v>245.0</v>
      </c>
      <c r="L44" s="3">
        <v>2.0</v>
      </c>
      <c r="M44" s="3">
        <v>16.0</v>
      </c>
      <c r="N44" s="3">
        <v>157.0</v>
      </c>
      <c r="O44" s="3">
        <v>1.0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  <c r="X44" s="4">
        <f t="shared" si="1"/>
        <v>74.2</v>
      </c>
      <c r="Y44" s="4">
        <f t="shared" si="2"/>
        <v>5.707692308</v>
      </c>
    </row>
    <row r="45">
      <c r="A45" s="1" t="s">
        <v>153</v>
      </c>
      <c r="B45" s="1" t="s">
        <v>79</v>
      </c>
      <c r="C45" s="1" t="s">
        <v>48</v>
      </c>
      <c r="D45" s="2" t="s">
        <v>54</v>
      </c>
      <c r="E45" s="2" t="s">
        <v>112</v>
      </c>
      <c r="F45" s="3">
        <v>26.0</v>
      </c>
      <c r="G45" s="3">
        <v>16.0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21.0</v>
      </c>
      <c r="S45" s="3">
        <v>12.0</v>
      </c>
      <c r="T45" s="3">
        <v>9.0</v>
      </c>
      <c r="U45" s="3">
        <v>9.0</v>
      </c>
      <c r="V45" s="3">
        <v>0.0</v>
      </c>
      <c r="W45" s="3">
        <v>6.0</v>
      </c>
      <c r="X45" s="4">
        <f t="shared" si="1"/>
        <v>132</v>
      </c>
      <c r="Y45" s="4">
        <f t="shared" si="2"/>
        <v>8.25</v>
      </c>
    </row>
    <row r="46">
      <c r="A46" s="7" t="s">
        <v>154</v>
      </c>
      <c r="B46" s="1" t="s">
        <v>155</v>
      </c>
      <c r="C46" s="1" t="s">
        <v>111</v>
      </c>
      <c r="D46" s="2" t="s">
        <v>32</v>
      </c>
      <c r="E46" s="2" t="s">
        <v>28</v>
      </c>
      <c r="F46" s="3">
        <v>29.0</v>
      </c>
      <c r="G46" s="3">
        <v>16.0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20.0</v>
      </c>
      <c r="N46" s="3">
        <v>282.0</v>
      </c>
      <c r="O46" s="3">
        <v>1.0</v>
      </c>
      <c r="P46" s="3">
        <v>1.0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0.0</v>
      </c>
      <c r="W46" s="3">
        <v>0.0</v>
      </c>
      <c r="X46" s="4">
        <f t="shared" si="1"/>
        <v>52.2</v>
      </c>
      <c r="Y46" s="4">
        <f t="shared" si="2"/>
        <v>3.2625</v>
      </c>
    </row>
    <row r="47">
      <c r="A47" s="1" t="s">
        <v>156</v>
      </c>
      <c r="B47" s="1" t="s">
        <v>79</v>
      </c>
      <c r="C47" s="1" t="s">
        <v>157</v>
      </c>
      <c r="D47" s="2" t="s">
        <v>149</v>
      </c>
      <c r="E47" s="2" t="s">
        <v>112</v>
      </c>
      <c r="F47" s="3">
        <v>31.0</v>
      </c>
      <c r="G47" s="3">
        <v>12.0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18.0</v>
      </c>
      <c r="S47" s="3">
        <v>8.0</v>
      </c>
      <c r="T47" s="3">
        <v>5.0</v>
      </c>
      <c r="U47" s="3">
        <v>7.0</v>
      </c>
      <c r="V47" s="3">
        <v>0.0</v>
      </c>
      <c r="W47" s="3">
        <v>8.0</v>
      </c>
      <c r="X47" s="4">
        <f t="shared" si="1"/>
        <v>89</v>
      </c>
      <c r="Y47" s="4">
        <f t="shared" si="2"/>
        <v>7.416666667</v>
      </c>
    </row>
    <row r="48">
      <c r="A48" s="1" t="s">
        <v>158</v>
      </c>
      <c r="B48" s="1" t="s">
        <v>110</v>
      </c>
      <c r="C48" s="1" t="s">
        <v>62</v>
      </c>
      <c r="D48" s="2" t="s">
        <v>129</v>
      </c>
      <c r="E48" s="2" t="s">
        <v>28</v>
      </c>
      <c r="F48" s="3">
        <v>26.0</v>
      </c>
      <c r="G48" s="3">
        <v>15.0</v>
      </c>
      <c r="H48" s="3">
        <v>0.0</v>
      </c>
      <c r="I48" s="3">
        <v>0.0</v>
      </c>
      <c r="J48" s="3">
        <v>0.0</v>
      </c>
      <c r="K48" s="3">
        <v>5.0</v>
      </c>
      <c r="L48" s="3">
        <v>0.0</v>
      </c>
      <c r="M48" s="3">
        <v>104.0</v>
      </c>
      <c r="N48" s="3">
        <v>1023.0</v>
      </c>
      <c r="O48" s="3">
        <v>3.0</v>
      </c>
      <c r="P48" s="3">
        <v>2.0</v>
      </c>
      <c r="Q48" s="3">
        <v>1.0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4">
        <f t="shared" si="1"/>
        <v>222.8</v>
      </c>
      <c r="Y48" s="4">
        <f t="shared" si="2"/>
        <v>14.85333333</v>
      </c>
    </row>
    <row r="49">
      <c r="A49" s="1" t="s">
        <v>159</v>
      </c>
      <c r="B49" s="1" t="s">
        <v>68</v>
      </c>
      <c r="C49" s="1" t="s">
        <v>53</v>
      </c>
      <c r="D49" s="2" t="s">
        <v>104</v>
      </c>
      <c r="E49" s="2" t="s">
        <v>28</v>
      </c>
      <c r="F49" s="3">
        <v>29.0</v>
      </c>
      <c r="G49" s="3">
        <v>16.0</v>
      </c>
      <c r="H49" s="3">
        <v>0.0</v>
      </c>
      <c r="I49" s="3">
        <v>0.0</v>
      </c>
      <c r="J49" s="3">
        <v>0.0</v>
      </c>
      <c r="K49" s="3">
        <v>3.0</v>
      </c>
      <c r="L49" s="3">
        <v>0.0</v>
      </c>
      <c r="M49" s="3">
        <v>48.0</v>
      </c>
      <c r="N49" s="3">
        <v>548.0</v>
      </c>
      <c r="O49" s="3">
        <v>2.0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4">
        <f t="shared" si="1"/>
        <v>115.1</v>
      </c>
      <c r="Y49" s="4">
        <f t="shared" si="2"/>
        <v>7.19375</v>
      </c>
    </row>
    <row r="50">
      <c r="A50" s="1" t="s">
        <v>160</v>
      </c>
      <c r="B50" s="1" t="s">
        <v>75</v>
      </c>
      <c r="C50" s="1" t="s">
        <v>161</v>
      </c>
      <c r="D50" s="2" t="s">
        <v>66</v>
      </c>
      <c r="E50" s="2" t="s">
        <v>28</v>
      </c>
      <c r="F50" s="3">
        <v>22.0</v>
      </c>
      <c r="G50" s="3">
        <v>15.0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72.0</v>
      </c>
      <c r="N50" s="3">
        <v>1042.0</v>
      </c>
      <c r="O50" s="3">
        <v>4.0</v>
      </c>
      <c r="P50" s="3">
        <v>2.0</v>
      </c>
      <c r="Q50" s="3">
        <v>1.0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4">
        <f t="shared" si="1"/>
        <v>198.2</v>
      </c>
      <c r="Y50" s="4">
        <f t="shared" si="2"/>
        <v>13.21333333</v>
      </c>
    </row>
    <row r="51">
      <c r="A51" s="1" t="s">
        <v>162</v>
      </c>
      <c r="B51" s="1" t="s">
        <v>121</v>
      </c>
      <c r="C51" s="1" t="s">
        <v>163</v>
      </c>
      <c r="D51" s="2" t="s">
        <v>164</v>
      </c>
      <c r="E51" s="2" t="s">
        <v>28</v>
      </c>
      <c r="F51" s="3">
        <v>25.0</v>
      </c>
      <c r="G51" s="3">
        <v>17.0</v>
      </c>
      <c r="H51" s="3">
        <v>0.0</v>
      </c>
      <c r="I51" s="3">
        <v>0.0</v>
      </c>
      <c r="J51" s="3">
        <v>0.0</v>
      </c>
      <c r="K51" s="3">
        <v>11.0</v>
      </c>
      <c r="L51" s="3">
        <v>0.0</v>
      </c>
      <c r="M51" s="3">
        <v>84.0</v>
      </c>
      <c r="N51" s="3">
        <v>1108.0</v>
      </c>
      <c r="O51" s="3">
        <v>8.0</v>
      </c>
      <c r="P51" s="3">
        <v>1.0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4">
        <f t="shared" si="1"/>
        <v>241.9</v>
      </c>
      <c r="Y51" s="4">
        <f t="shared" si="2"/>
        <v>14.22941176</v>
      </c>
    </row>
    <row r="52">
      <c r="A52" s="1" t="s">
        <v>165</v>
      </c>
      <c r="B52" s="1" t="s">
        <v>166</v>
      </c>
      <c r="C52" s="1" t="s">
        <v>91</v>
      </c>
      <c r="D52" s="2" t="s">
        <v>108</v>
      </c>
      <c r="E52" s="2" t="s">
        <v>36</v>
      </c>
      <c r="F52" s="3">
        <v>26.0</v>
      </c>
      <c r="G52" s="3">
        <v>17.0</v>
      </c>
      <c r="H52" s="3">
        <v>34.0</v>
      </c>
      <c r="I52" s="3">
        <v>1.0</v>
      </c>
      <c r="J52" s="3">
        <v>0.0</v>
      </c>
      <c r="K52" s="3">
        <v>1139.0</v>
      </c>
      <c r="L52" s="3">
        <v>8.0</v>
      </c>
      <c r="M52" s="3">
        <v>85.0</v>
      </c>
      <c r="N52" s="3">
        <v>741.0</v>
      </c>
      <c r="O52" s="3">
        <v>5.0</v>
      </c>
      <c r="P52" s="3">
        <v>1.0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4">
        <f t="shared" si="1"/>
        <v>354.36</v>
      </c>
      <c r="Y52" s="4">
        <f t="shared" si="2"/>
        <v>20.84470588</v>
      </c>
    </row>
    <row r="53">
      <c r="A53" s="1" t="s">
        <v>167</v>
      </c>
      <c r="B53" s="2" t="s">
        <v>121</v>
      </c>
      <c r="C53" s="1" t="s">
        <v>145</v>
      </c>
      <c r="D53" s="2" t="s">
        <v>35</v>
      </c>
      <c r="E53" s="2" t="s">
        <v>28</v>
      </c>
      <c r="F53" s="3">
        <v>23.0</v>
      </c>
      <c r="G53" s="3">
        <v>14.0</v>
      </c>
      <c r="H53" s="3">
        <v>0.0</v>
      </c>
      <c r="I53" s="3">
        <v>0.0</v>
      </c>
      <c r="J53" s="3">
        <v>0.0</v>
      </c>
      <c r="K53" s="3">
        <v>80.0</v>
      </c>
      <c r="L53" s="3">
        <v>2.0</v>
      </c>
      <c r="M53" s="3">
        <v>41.0</v>
      </c>
      <c r="N53" s="3">
        <v>611.0</v>
      </c>
      <c r="O53" s="3">
        <v>7.0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4">
        <f t="shared" si="1"/>
        <v>164.1</v>
      </c>
      <c r="Y53" s="4">
        <f t="shared" si="2"/>
        <v>11.72142857</v>
      </c>
    </row>
    <row r="54">
      <c r="A54" s="1" t="s">
        <v>168</v>
      </c>
      <c r="B54" s="1" t="s">
        <v>169</v>
      </c>
      <c r="C54" s="1" t="s">
        <v>170</v>
      </c>
      <c r="D54" s="2" t="s">
        <v>95</v>
      </c>
      <c r="E54" s="2" t="s">
        <v>36</v>
      </c>
      <c r="F54" s="3">
        <v>23.0</v>
      </c>
      <c r="G54" s="3">
        <v>15.0</v>
      </c>
      <c r="H54" s="3">
        <v>0.0</v>
      </c>
      <c r="I54" s="3">
        <v>0.0</v>
      </c>
      <c r="J54" s="3">
        <v>0.0</v>
      </c>
      <c r="K54" s="3">
        <v>466.0</v>
      </c>
      <c r="L54" s="3">
        <v>2.0</v>
      </c>
      <c r="M54" s="3">
        <v>14.0</v>
      </c>
      <c r="N54" s="3">
        <v>171.0</v>
      </c>
      <c r="O54" s="3">
        <v>0.0</v>
      </c>
      <c r="P54" s="3">
        <v>2.0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4">
        <f t="shared" si="1"/>
        <v>85.7</v>
      </c>
      <c r="Y54" s="4">
        <f t="shared" si="2"/>
        <v>5.713333333</v>
      </c>
    </row>
    <row r="55">
      <c r="A55" s="1" t="s">
        <v>171</v>
      </c>
      <c r="B55" s="1" t="s">
        <v>100</v>
      </c>
      <c r="C55" s="1" t="s">
        <v>131</v>
      </c>
      <c r="D55" s="2" t="s">
        <v>172</v>
      </c>
      <c r="E55" s="2" t="s">
        <v>36</v>
      </c>
      <c r="F55" s="3">
        <v>23.0</v>
      </c>
      <c r="G55" s="3">
        <v>10.0</v>
      </c>
      <c r="H55" s="3">
        <v>0.0</v>
      </c>
      <c r="I55" s="3">
        <v>0.0</v>
      </c>
      <c r="J55" s="3">
        <v>0.0</v>
      </c>
      <c r="K55" s="3">
        <v>302.0</v>
      </c>
      <c r="L55" s="3">
        <v>3.0</v>
      </c>
      <c r="M55" s="3">
        <v>17.0</v>
      </c>
      <c r="N55" s="3">
        <v>151.0</v>
      </c>
      <c r="O55" s="3">
        <v>3.0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4">
        <f t="shared" si="1"/>
        <v>98.3</v>
      </c>
      <c r="Y55" s="4">
        <f t="shared" si="2"/>
        <v>9.83</v>
      </c>
    </row>
    <row r="56">
      <c r="A56" s="1" t="s">
        <v>173</v>
      </c>
      <c r="B56" s="1" t="s">
        <v>38</v>
      </c>
      <c r="C56" s="1" t="s">
        <v>91</v>
      </c>
      <c r="D56" s="2" t="s">
        <v>174</v>
      </c>
      <c r="E56" s="2" t="s">
        <v>51</v>
      </c>
      <c r="F56" s="3">
        <v>23.0</v>
      </c>
      <c r="G56" s="3">
        <v>17.0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25.0</v>
      </c>
      <c r="N56" s="3">
        <v>322.0</v>
      </c>
      <c r="O56" s="3">
        <v>2.0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4">
        <f t="shared" si="1"/>
        <v>69.2</v>
      </c>
      <c r="Y56" s="4">
        <f t="shared" si="2"/>
        <v>4.070588235</v>
      </c>
    </row>
    <row r="57">
      <c r="A57" s="1" t="s">
        <v>175</v>
      </c>
      <c r="B57" s="1" t="s">
        <v>48</v>
      </c>
      <c r="C57" s="1" t="s">
        <v>98</v>
      </c>
      <c r="D57" s="2" t="s">
        <v>124</v>
      </c>
      <c r="E57" s="2" t="s">
        <v>51</v>
      </c>
      <c r="F57" s="3">
        <v>23.0</v>
      </c>
      <c r="G57" s="3">
        <v>17.0</v>
      </c>
      <c r="H57" s="3">
        <v>0.0</v>
      </c>
      <c r="I57" s="3">
        <v>0.0</v>
      </c>
      <c r="J57" s="3">
        <v>0.0</v>
      </c>
      <c r="K57" s="3">
        <v>9.0</v>
      </c>
      <c r="L57" s="3">
        <v>0.0</v>
      </c>
      <c r="M57" s="3">
        <v>50.0</v>
      </c>
      <c r="N57" s="3">
        <v>544.0</v>
      </c>
      <c r="O57" s="3">
        <v>7.0</v>
      </c>
      <c r="P57" s="3">
        <v>1.0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4">
        <f t="shared" si="1"/>
        <v>145.3</v>
      </c>
      <c r="Y57" s="4">
        <f t="shared" si="2"/>
        <v>8.547058824</v>
      </c>
    </row>
    <row r="58">
      <c r="A58" s="1" t="s">
        <v>176</v>
      </c>
      <c r="B58" s="1" t="s">
        <v>128</v>
      </c>
      <c r="C58" s="1" t="s">
        <v>177</v>
      </c>
      <c r="D58" s="2" t="s">
        <v>63</v>
      </c>
      <c r="E58" s="2" t="s">
        <v>28</v>
      </c>
      <c r="F58" s="3">
        <v>29.0</v>
      </c>
      <c r="G58" s="3">
        <v>9.0</v>
      </c>
      <c r="H58" s="3">
        <v>0.0</v>
      </c>
      <c r="I58" s="3">
        <v>0.0</v>
      </c>
      <c r="J58" s="3">
        <v>0.0</v>
      </c>
      <c r="K58" s="3">
        <v>52.0</v>
      </c>
      <c r="L58" s="3">
        <v>1.0</v>
      </c>
      <c r="M58" s="3">
        <v>75.0</v>
      </c>
      <c r="N58" s="3">
        <v>812.0</v>
      </c>
      <c r="O58" s="3">
        <v>6.0</v>
      </c>
      <c r="P58" s="3">
        <v>2.0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4">
        <f t="shared" si="1"/>
        <v>199.4</v>
      </c>
      <c r="Y58" s="4">
        <f t="shared" si="2"/>
        <v>22.15555556</v>
      </c>
    </row>
    <row r="59">
      <c r="A59" s="1" t="s">
        <v>178</v>
      </c>
      <c r="B59" s="1" t="s">
        <v>61</v>
      </c>
      <c r="C59" s="1" t="s">
        <v>179</v>
      </c>
      <c r="D59" s="2" t="s">
        <v>118</v>
      </c>
      <c r="E59" s="2" t="s">
        <v>39</v>
      </c>
      <c r="F59" s="3">
        <v>28.0</v>
      </c>
      <c r="G59" s="3">
        <v>9.0</v>
      </c>
      <c r="H59" s="3">
        <v>1051.0</v>
      </c>
      <c r="I59" s="3">
        <v>5.0</v>
      </c>
      <c r="J59" s="3">
        <v>3.0</v>
      </c>
      <c r="K59" s="3">
        <v>6.0</v>
      </c>
      <c r="L59" s="3">
        <v>0.0</v>
      </c>
      <c r="M59" s="3">
        <v>0.0</v>
      </c>
      <c r="N59" s="3">
        <v>0.0</v>
      </c>
      <c r="O59" s="3">
        <v>0.0</v>
      </c>
      <c r="P59" s="3">
        <v>2.0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  <c r="W59" s="3">
        <v>0.0</v>
      </c>
      <c r="X59" s="4">
        <f t="shared" si="1"/>
        <v>52.64</v>
      </c>
      <c r="Y59" s="4">
        <f t="shared" si="2"/>
        <v>5.848888889</v>
      </c>
    </row>
    <row r="60">
      <c r="A60" s="1" t="s">
        <v>180</v>
      </c>
      <c r="B60" s="1" t="s">
        <v>30</v>
      </c>
      <c r="C60" s="1" t="s">
        <v>65</v>
      </c>
      <c r="D60" s="2" t="s">
        <v>137</v>
      </c>
      <c r="E60" s="2" t="s">
        <v>36</v>
      </c>
      <c r="F60" s="3">
        <v>31.0</v>
      </c>
      <c r="G60" s="3">
        <v>13.0</v>
      </c>
      <c r="H60" s="3">
        <v>0.0</v>
      </c>
      <c r="I60" s="3">
        <v>0.0</v>
      </c>
      <c r="J60" s="3">
        <v>0.0</v>
      </c>
      <c r="K60" s="3">
        <v>695.0</v>
      </c>
      <c r="L60" s="3">
        <v>8.0</v>
      </c>
      <c r="M60" s="3">
        <v>21.0</v>
      </c>
      <c r="N60" s="3">
        <v>122.0</v>
      </c>
      <c r="O60" s="3">
        <v>0.0</v>
      </c>
      <c r="P60" s="3">
        <v>1.0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4">
        <f t="shared" si="1"/>
        <v>148.7</v>
      </c>
      <c r="Y60" s="4">
        <f t="shared" si="2"/>
        <v>11.43846154</v>
      </c>
    </row>
    <row r="61">
      <c r="A61" s="1" t="s">
        <v>181</v>
      </c>
      <c r="B61" s="1" t="s">
        <v>48</v>
      </c>
      <c r="C61" s="1" t="s">
        <v>182</v>
      </c>
      <c r="D61" s="2" t="s">
        <v>116</v>
      </c>
      <c r="E61" s="2" t="s">
        <v>28</v>
      </c>
      <c r="F61" s="3">
        <v>27.0</v>
      </c>
      <c r="G61" s="3">
        <v>13.0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32.0</v>
      </c>
      <c r="N61" s="3">
        <v>536.0</v>
      </c>
      <c r="O61" s="3">
        <v>2.0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4">
        <f t="shared" si="1"/>
        <v>97.6</v>
      </c>
      <c r="Y61" s="4">
        <f t="shared" si="2"/>
        <v>7.507692308</v>
      </c>
    </row>
    <row r="62">
      <c r="A62" s="1" t="s">
        <v>183</v>
      </c>
      <c r="B62" s="1" t="s">
        <v>79</v>
      </c>
      <c r="C62" s="1" t="s">
        <v>184</v>
      </c>
      <c r="D62" s="2" t="s">
        <v>50</v>
      </c>
      <c r="E62" s="2" t="s">
        <v>28</v>
      </c>
      <c r="F62" s="3">
        <v>26.0</v>
      </c>
      <c r="G62" s="3">
        <v>15.0</v>
      </c>
      <c r="H62" s="3">
        <v>0.0</v>
      </c>
      <c r="I62" s="3">
        <v>0.0</v>
      </c>
      <c r="J62" s="3">
        <v>0.0</v>
      </c>
      <c r="K62" s="3">
        <v>5.0</v>
      </c>
      <c r="L62" s="3">
        <v>0.0</v>
      </c>
      <c r="M62" s="3">
        <v>64.0</v>
      </c>
      <c r="N62" s="3">
        <v>829.0</v>
      </c>
      <c r="O62" s="3">
        <v>2.0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  <c r="W62" s="3">
        <v>0.0</v>
      </c>
      <c r="X62" s="4">
        <f t="shared" si="1"/>
        <v>159.4</v>
      </c>
      <c r="Y62" s="4">
        <f t="shared" si="2"/>
        <v>10.62666667</v>
      </c>
    </row>
    <row r="63">
      <c r="A63" s="1" t="s">
        <v>185</v>
      </c>
      <c r="B63" s="1" t="s">
        <v>110</v>
      </c>
      <c r="C63" s="1" t="s">
        <v>186</v>
      </c>
      <c r="D63" s="2" t="s">
        <v>77</v>
      </c>
      <c r="E63" s="2" t="s">
        <v>36</v>
      </c>
      <c r="F63" s="3">
        <v>26.0</v>
      </c>
      <c r="G63" s="3">
        <v>9.0</v>
      </c>
      <c r="H63" s="3">
        <v>0.0</v>
      </c>
      <c r="I63" s="3">
        <v>0.0</v>
      </c>
      <c r="J63" s="3">
        <v>0.0</v>
      </c>
      <c r="K63" s="3">
        <v>102.0</v>
      </c>
      <c r="L63" s="3">
        <v>0.0</v>
      </c>
      <c r="M63" s="3">
        <v>9.0</v>
      </c>
      <c r="N63" s="3">
        <v>116.0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4">
        <f t="shared" si="1"/>
        <v>30.8</v>
      </c>
      <c r="Y63" s="4">
        <f t="shared" si="2"/>
        <v>3.422222222</v>
      </c>
    </row>
    <row r="64">
      <c r="A64" s="1" t="s">
        <v>187</v>
      </c>
      <c r="B64" s="1" t="s">
        <v>188</v>
      </c>
      <c r="C64" s="1" t="s">
        <v>161</v>
      </c>
      <c r="D64" s="2" t="s">
        <v>83</v>
      </c>
      <c r="E64" s="2" t="s">
        <v>28</v>
      </c>
      <c r="F64" s="3">
        <v>26.0</v>
      </c>
      <c r="G64" s="3">
        <v>17.0</v>
      </c>
      <c r="H64" s="3">
        <v>0.0</v>
      </c>
      <c r="I64" s="3">
        <v>0.0</v>
      </c>
      <c r="J64" s="3">
        <v>0.0</v>
      </c>
      <c r="K64" s="3">
        <v>187.0</v>
      </c>
      <c r="L64" s="3">
        <v>1.0</v>
      </c>
      <c r="M64" s="3">
        <v>64.0</v>
      </c>
      <c r="N64" s="3">
        <v>656.0</v>
      </c>
      <c r="O64" s="3">
        <v>4.0</v>
      </c>
      <c r="P64" s="3">
        <v>1.0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4">
        <f t="shared" si="1"/>
        <v>176.3</v>
      </c>
      <c r="Y64" s="4">
        <f t="shared" si="2"/>
        <v>10.37058824</v>
      </c>
    </row>
    <row r="65">
      <c r="A65" s="1" t="s">
        <v>189</v>
      </c>
      <c r="B65" s="1" t="s">
        <v>26</v>
      </c>
      <c r="C65" s="1" t="s">
        <v>26</v>
      </c>
      <c r="D65" s="2" t="s">
        <v>174</v>
      </c>
      <c r="E65" s="2" t="s">
        <v>28</v>
      </c>
      <c r="F65" s="3">
        <v>24.0</v>
      </c>
      <c r="G65" s="3">
        <v>17.0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90.0</v>
      </c>
      <c r="N65" s="3">
        <v>1048.0</v>
      </c>
      <c r="O65" s="3">
        <v>6.0</v>
      </c>
      <c r="P65" s="3">
        <v>2.0</v>
      </c>
      <c r="Q65" s="3">
        <v>0.0</v>
      </c>
      <c r="R65" s="3">
        <v>0.0</v>
      </c>
      <c r="S65" s="3">
        <v>0.0</v>
      </c>
      <c r="T65" s="3">
        <v>0.0</v>
      </c>
      <c r="U65" s="3">
        <v>0.0</v>
      </c>
      <c r="V65" s="3">
        <v>0.0</v>
      </c>
      <c r="W65" s="3">
        <v>0.0</v>
      </c>
      <c r="X65" s="4">
        <f t="shared" si="1"/>
        <v>226.8</v>
      </c>
      <c r="Y65" s="4">
        <f t="shared" si="2"/>
        <v>13.34117647</v>
      </c>
    </row>
    <row r="66">
      <c r="A66" s="1" t="s">
        <v>190</v>
      </c>
      <c r="B66" s="1" t="s">
        <v>110</v>
      </c>
      <c r="C66" s="1" t="s">
        <v>31</v>
      </c>
      <c r="D66" s="2" t="s">
        <v>77</v>
      </c>
      <c r="E66" s="2" t="s">
        <v>36</v>
      </c>
      <c r="F66" s="3">
        <v>23.0</v>
      </c>
      <c r="G66" s="3">
        <v>14.0</v>
      </c>
      <c r="H66" s="3">
        <v>0.0</v>
      </c>
      <c r="I66" s="3">
        <v>0.0</v>
      </c>
      <c r="J66" s="3">
        <v>0.0</v>
      </c>
      <c r="K66" s="3">
        <v>542.0</v>
      </c>
      <c r="L66" s="3">
        <v>5.0</v>
      </c>
      <c r="M66" s="3">
        <v>48.0</v>
      </c>
      <c r="N66" s="3">
        <v>389.0</v>
      </c>
      <c r="O66" s="3">
        <v>3.0</v>
      </c>
      <c r="P66" s="3">
        <v>1.0</v>
      </c>
      <c r="Q66" s="3">
        <v>1.0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4">
        <f t="shared" si="1"/>
        <v>189.1</v>
      </c>
      <c r="Y66" s="4">
        <f t="shared" si="2"/>
        <v>13.50714286</v>
      </c>
    </row>
    <row r="67">
      <c r="A67" s="1" t="s">
        <v>191</v>
      </c>
      <c r="B67" s="1" t="s">
        <v>79</v>
      </c>
      <c r="C67" s="1" t="s">
        <v>79</v>
      </c>
      <c r="D67" s="2" t="s">
        <v>95</v>
      </c>
      <c r="E67" s="2" t="s">
        <v>36</v>
      </c>
      <c r="F67" s="3">
        <v>26.0</v>
      </c>
      <c r="G67" s="3">
        <v>17.0</v>
      </c>
      <c r="H67" s="3">
        <v>0.0</v>
      </c>
      <c r="I67" s="3">
        <v>0.0</v>
      </c>
      <c r="J67" s="3">
        <v>0.0</v>
      </c>
      <c r="K67" s="3">
        <v>914.0</v>
      </c>
      <c r="L67" s="3">
        <v>5.0</v>
      </c>
      <c r="M67" s="3">
        <v>5.0</v>
      </c>
      <c r="N67" s="3">
        <v>26.0</v>
      </c>
      <c r="O67" s="3">
        <v>0.0</v>
      </c>
      <c r="P67" s="3">
        <v>1.0</v>
      </c>
      <c r="Q67" s="3">
        <v>1.0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4">
        <f t="shared" si="1"/>
        <v>129</v>
      </c>
      <c r="Y67" s="4">
        <f t="shared" si="2"/>
        <v>7.588235294</v>
      </c>
    </row>
    <row r="68">
      <c r="A68" s="1" t="s">
        <v>192</v>
      </c>
      <c r="B68" s="1" t="s">
        <v>100</v>
      </c>
      <c r="C68" s="1" t="s">
        <v>193</v>
      </c>
      <c r="D68" s="2" t="s">
        <v>118</v>
      </c>
      <c r="E68" s="2" t="s">
        <v>39</v>
      </c>
      <c r="F68" s="3">
        <v>29.0</v>
      </c>
      <c r="G68" s="3">
        <v>12.0</v>
      </c>
      <c r="H68" s="3">
        <v>2860.0</v>
      </c>
      <c r="I68" s="3">
        <v>23.0</v>
      </c>
      <c r="J68" s="3">
        <v>15.0</v>
      </c>
      <c r="K68" s="3">
        <v>182.0</v>
      </c>
      <c r="L68" s="3">
        <v>1.0</v>
      </c>
      <c r="M68" s="3">
        <v>0.0</v>
      </c>
      <c r="N68" s="3">
        <v>0.0</v>
      </c>
      <c r="O68" s="3">
        <v>0.0</v>
      </c>
      <c r="P68" s="3">
        <v>4.0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  <c r="X68" s="4">
        <f t="shared" si="1"/>
        <v>192.6</v>
      </c>
      <c r="Y68" s="4">
        <f t="shared" si="2"/>
        <v>16.05</v>
      </c>
    </row>
    <row r="69">
      <c r="A69" s="1" t="s">
        <v>194</v>
      </c>
      <c r="B69" s="1" t="s">
        <v>195</v>
      </c>
      <c r="C69" s="1" t="s">
        <v>196</v>
      </c>
      <c r="D69" s="2" t="s">
        <v>27</v>
      </c>
      <c r="E69" s="2" t="s">
        <v>51</v>
      </c>
      <c r="F69" s="3">
        <v>27.0</v>
      </c>
      <c r="G69" s="3">
        <v>12.0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55.0</v>
      </c>
      <c r="N69" s="3">
        <v>702.0</v>
      </c>
      <c r="O69" s="3">
        <v>3.0</v>
      </c>
      <c r="P69" s="3">
        <v>1.0</v>
      </c>
      <c r="Q69" s="3">
        <v>0.0</v>
      </c>
      <c r="R69" s="3">
        <v>0.0</v>
      </c>
      <c r="S69" s="3">
        <v>0.0</v>
      </c>
      <c r="T69" s="3">
        <v>0.0</v>
      </c>
      <c r="U69" s="3">
        <v>0.0</v>
      </c>
      <c r="V69" s="3">
        <v>0.0</v>
      </c>
      <c r="W69" s="3">
        <v>0.0</v>
      </c>
      <c r="X69" s="4">
        <f t="shared" si="1"/>
        <v>141.2</v>
      </c>
      <c r="Y69" s="4">
        <f t="shared" si="2"/>
        <v>11.76666667</v>
      </c>
    </row>
    <row r="70">
      <c r="A70" s="1" t="s">
        <v>197</v>
      </c>
      <c r="B70" s="1" t="s">
        <v>198</v>
      </c>
      <c r="C70" s="1" t="s">
        <v>91</v>
      </c>
      <c r="D70" s="2" t="s">
        <v>118</v>
      </c>
      <c r="E70" s="2" t="s">
        <v>51</v>
      </c>
      <c r="F70" s="3">
        <v>26.0</v>
      </c>
      <c r="G70" s="3">
        <v>15.0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57.0</v>
      </c>
      <c r="N70" s="3">
        <v>577.0</v>
      </c>
      <c r="O70" s="3">
        <v>5.0</v>
      </c>
      <c r="P70" s="3">
        <v>1.0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4">
        <f t="shared" si="1"/>
        <v>142.7</v>
      </c>
      <c r="Y70" s="4">
        <f t="shared" si="2"/>
        <v>9.513333333</v>
      </c>
    </row>
    <row r="71">
      <c r="A71" s="1" t="s">
        <v>199</v>
      </c>
      <c r="B71" s="1" t="s">
        <v>68</v>
      </c>
      <c r="C71" s="1" t="s">
        <v>139</v>
      </c>
      <c r="D71" s="2" t="s">
        <v>43</v>
      </c>
      <c r="E71" s="2" t="s">
        <v>36</v>
      </c>
      <c r="F71" s="3">
        <v>27.0</v>
      </c>
      <c r="G71" s="3">
        <v>17.0</v>
      </c>
      <c r="H71" s="3">
        <v>0.0</v>
      </c>
      <c r="I71" s="3">
        <v>0.0</v>
      </c>
      <c r="J71" s="3">
        <v>0.0</v>
      </c>
      <c r="K71" s="3">
        <v>1173.0</v>
      </c>
      <c r="L71" s="3">
        <v>8.0</v>
      </c>
      <c r="M71" s="3">
        <v>39.0</v>
      </c>
      <c r="N71" s="3">
        <v>295.0</v>
      </c>
      <c r="O71" s="3">
        <v>2.0</v>
      </c>
      <c r="P71" s="3">
        <v>4.0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4">
        <f t="shared" si="1"/>
        <v>237.8</v>
      </c>
      <c r="Y71" s="4">
        <f t="shared" si="2"/>
        <v>13.98823529</v>
      </c>
    </row>
    <row r="72">
      <c r="A72" s="1" t="s">
        <v>200</v>
      </c>
      <c r="B72" s="2" t="s">
        <v>31</v>
      </c>
      <c r="C72" s="1" t="s">
        <v>68</v>
      </c>
      <c r="D72" s="2" t="s">
        <v>104</v>
      </c>
      <c r="E72" s="2" t="s">
        <v>36</v>
      </c>
      <c r="F72" s="3">
        <v>22.0</v>
      </c>
      <c r="G72" s="3">
        <v>13.0</v>
      </c>
      <c r="H72" s="3">
        <v>0.0</v>
      </c>
      <c r="I72" s="3">
        <v>0.0</v>
      </c>
      <c r="J72" s="3">
        <v>0.0</v>
      </c>
      <c r="K72" s="3">
        <v>939.0</v>
      </c>
      <c r="L72" s="3">
        <v>4.0</v>
      </c>
      <c r="M72" s="3">
        <v>30.0</v>
      </c>
      <c r="N72" s="3">
        <v>165.0</v>
      </c>
      <c r="O72" s="3">
        <v>1.0</v>
      </c>
      <c r="P72" s="3">
        <v>4.0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4">
        <f t="shared" si="1"/>
        <v>162.4</v>
      </c>
      <c r="Y72" s="4">
        <f t="shared" si="2"/>
        <v>12.49230769</v>
      </c>
    </row>
    <row r="73">
      <c r="A73" s="1" t="s">
        <v>201</v>
      </c>
      <c r="B73" s="1" t="s">
        <v>202</v>
      </c>
      <c r="C73" s="1" t="s">
        <v>69</v>
      </c>
      <c r="D73" s="2" t="s">
        <v>203</v>
      </c>
      <c r="E73" s="2" t="s">
        <v>36</v>
      </c>
      <c r="F73" s="3">
        <v>25.0</v>
      </c>
      <c r="G73" s="3">
        <v>11.0</v>
      </c>
      <c r="H73" s="3">
        <v>0.0</v>
      </c>
      <c r="I73" s="3">
        <v>0.0</v>
      </c>
      <c r="J73" s="3">
        <v>0.0</v>
      </c>
      <c r="K73" s="3">
        <v>462.0</v>
      </c>
      <c r="L73" s="3">
        <v>3.0</v>
      </c>
      <c r="M73" s="3">
        <v>17.0</v>
      </c>
      <c r="N73" s="3">
        <v>97.0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4">
        <f t="shared" si="1"/>
        <v>90.9</v>
      </c>
      <c r="Y73" s="4">
        <f t="shared" si="2"/>
        <v>8.263636364</v>
      </c>
    </row>
    <row r="74">
      <c r="A74" s="1" t="s">
        <v>204</v>
      </c>
      <c r="B74" s="1" t="s">
        <v>155</v>
      </c>
      <c r="C74" s="1" t="s">
        <v>30</v>
      </c>
      <c r="D74" s="2" t="s">
        <v>137</v>
      </c>
      <c r="E74" s="2" t="s">
        <v>28</v>
      </c>
      <c r="F74" s="3">
        <v>29.0</v>
      </c>
      <c r="G74" s="3">
        <v>14.0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13.0</v>
      </c>
      <c r="N74" s="3">
        <v>268.0</v>
      </c>
      <c r="O74" s="3">
        <v>2.0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4">
        <f t="shared" si="1"/>
        <v>51.8</v>
      </c>
      <c r="Y74" s="4">
        <f t="shared" si="2"/>
        <v>3.7</v>
      </c>
    </row>
    <row r="75">
      <c r="A75" s="1" t="s">
        <v>205</v>
      </c>
      <c r="B75" s="1" t="s">
        <v>106</v>
      </c>
      <c r="C75" s="1" t="s">
        <v>206</v>
      </c>
      <c r="D75" s="2" t="s">
        <v>207</v>
      </c>
      <c r="E75" s="2" t="s">
        <v>51</v>
      </c>
      <c r="F75" s="3">
        <v>21.0</v>
      </c>
      <c r="G75" s="3">
        <v>12.0</v>
      </c>
      <c r="H75" s="3">
        <v>0.0</v>
      </c>
      <c r="I75" s="3">
        <v>0.0</v>
      </c>
      <c r="J75" s="3">
        <v>0.0</v>
      </c>
      <c r="K75" s="3">
        <v>2.0</v>
      </c>
      <c r="L75" s="3">
        <v>1.0</v>
      </c>
      <c r="M75" s="3">
        <v>30.0</v>
      </c>
      <c r="N75" s="3">
        <v>268.0</v>
      </c>
      <c r="O75" s="3">
        <v>2.0</v>
      </c>
      <c r="P75" s="3">
        <v>1.0</v>
      </c>
      <c r="Q75" s="3">
        <v>1.0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4">
        <f t="shared" si="1"/>
        <v>75</v>
      </c>
      <c r="Y75" s="4">
        <f t="shared" si="2"/>
        <v>6.25</v>
      </c>
    </row>
    <row r="76">
      <c r="A76" s="1" t="s">
        <v>208</v>
      </c>
      <c r="B76" s="1" t="s">
        <v>166</v>
      </c>
      <c r="C76" s="1" t="s">
        <v>126</v>
      </c>
      <c r="D76" s="2" t="s">
        <v>73</v>
      </c>
      <c r="E76" s="2" t="s">
        <v>112</v>
      </c>
      <c r="F76" s="3">
        <v>27.0</v>
      </c>
      <c r="G76" s="3">
        <v>17.0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35.0</v>
      </c>
      <c r="S76" s="3">
        <v>20.0</v>
      </c>
      <c r="T76" s="3">
        <v>3.0</v>
      </c>
      <c r="U76" s="3">
        <v>11.0</v>
      </c>
      <c r="V76" s="3">
        <v>0.0</v>
      </c>
      <c r="W76" s="3">
        <v>3.0</v>
      </c>
      <c r="X76" s="4">
        <f t="shared" si="1"/>
        <v>159</v>
      </c>
      <c r="Y76" s="4">
        <f t="shared" si="2"/>
        <v>9.352941176</v>
      </c>
    </row>
    <row r="77">
      <c r="A77" s="1" t="s">
        <v>209</v>
      </c>
      <c r="B77" s="1" t="s">
        <v>114</v>
      </c>
      <c r="C77" s="1" t="s">
        <v>210</v>
      </c>
      <c r="D77" s="2" t="s">
        <v>207</v>
      </c>
      <c r="E77" s="2" t="s">
        <v>39</v>
      </c>
      <c r="F77" s="3">
        <v>25.0</v>
      </c>
      <c r="G77" s="3">
        <v>16.0</v>
      </c>
      <c r="H77" s="3">
        <v>3205.0</v>
      </c>
      <c r="I77" s="3">
        <v>15.0</v>
      </c>
      <c r="J77" s="3">
        <v>5.0</v>
      </c>
      <c r="K77" s="3">
        <v>708.0</v>
      </c>
      <c r="L77" s="3">
        <v>7.0</v>
      </c>
      <c r="M77" s="3">
        <v>0.0</v>
      </c>
      <c r="N77" s="3">
        <v>0.0</v>
      </c>
      <c r="O77" s="3">
        <v>0.0</v>
      </c>
      <c r="P77" s="3">
        <v>6.0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  <c r="V77" s="3">
        <v>0.0</v>
      </c>
      <c r="W77" s="3">
        <v>0.0</v>
      </c>
      <c r="X77" s="4">
        <f t="shared" si="1"/>
        <v>279</v>
      </c>
      <c r="Y77" s="4">
        <f t="shared" si="2"/>
        <v>17.4375</v>
      </c>
    </row>
    <row r="78">
      <c r="A78" s="1" t="s">
        <v>211</v>
      </c>
      <c r="B78" s="1" t="s">
        <v>75</v>
      </c>
      <c r="C78" s="1" t="s">
        <v>128</v>
      </c>
      <c r="D78" s="2" t="s">
        <v>124</v>
      </c>
      <c r="E78" s="2" t="s">
        <v>28</v>
      </c>
      <c r="F78" s="3">
        <v>26.0</v>
      </c>
      <c r="G78" s="3">
        <v>17.0</v>
      </c>
      <c r="H78" s="3">
        <v>0.0</v>
      </c>
      <c r="I78" s="3">
        <v>0.0</v>
      </c>
      <c r="J78" s="3">
        <v>0.0</v>
      </c>
      <c r="K78" s="3">
        <v>37.0</v>
      </c>
      <c r="L78" s="3">
        <v>0.0</v>
      </c>
      <c r="M78" s="3">
        <v>19.0</v>
      </c>
      <c r="N78" s="3">
        <v>245.0</v>
      </c>
      <c r="O78" s="3">
        <v>3.0</v>
      </c>
      <c r="P78" s="3">
        <v>1.0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4">
        <f t="shared" si="1"/>
        <v>63.2</v>
      </c>
      <c r="Y78" s="4">
        <f t="shared" si="2"/>
        <v>3.717647059</v>
      </c>
    </row>
    <row r="79">
      <c r="A79" s="1" t="s">
        <v>212</v>
      </c>
      <c r="B79" s="1" t="s">
        <v>31</v>
      </c>
      <c r="C79" s="1" t="s">
        <v>126</v>
      </c>
      <c r="D79" s="2" t="s">
        <v>207</v>
      </c>
      <c r="E79" s="2" t="s">
        <v>28</v>
      </c>
      <c r="F79" s="3">
        <v>25.0</v>
      </c>
      <c r="G79" s="3">
        <v>16.0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46.0</v>
      </c>
      <c r="N79" s="3">
        <v>724.0</v>
      </c>
      <c r="O79" s="3">
        <v>2.0</v>
      </c>
      <c r="P79" s="3">
        <v>2.0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4">
        <f t="shared" si="1"/>
        <v>126.4</v>
      </c>
      <c r="Y79" s="4">
        <f t="shared" si="2"/>
        <v>7.9</v>
      </c>
    </row>
    <row r="80">
      <c r="A80" s="1" t="s">
        <v>213</v>
      </c>
      <c r="B80" s="1" t="s">
        <v>69</v>
      </c>
      <c r="C80" s="1" t="s">
        <v>134</v>
      </c>
      <c r="D80" s="2" t="s">
        <v>124</v>
      </c>
      <c r="E80" s="2" t="s">
        <v>28</v>
      </c>
      <c r="F80" s="3">
        <v>24.0</v>
      </c>
      <c r="G80" s="3">
        <v>12.0</v>
      </c>
      <c r="H80" s="3">
        <v>0.0</v>
      </c>
      <c r="I80" s="3">
        <v>0.0</v>
      </c>
      <c r="J80" s="3">
        <v>0.0</v>
      </c>
      <c r="K80" s="3">
        <v>2.0</v>
      </c>
      <c r="L80" s="3">
        <v>0.0</v>
      </c>
      <c r="M80" s="3">
        <v>40.0</v>
      </c>
      <c r="N80" s="3">
        <v>493.0</v>
      </c>
      <c r="O80" s="3">
        <v>2.0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0.0</v>
      </c>
      <c r="X80" s="4">
        <f t="shared" si="1"/>
        <v>101.5</v>
      </c>
      <c r="Y80" s="4">
        <f t="shared" si="2"/>
        <v>8.458333333</v>
      </c>
    </row>
    <row r="81">
      <c r="A81" s="1" t="s">
        <v>214</v>
      </c>
      <c r="B81" s="1" t="s">
        <v>26</v>
      </c>
      <c r="C81" s="1" t="s">
        <v>82</v>
      </c>
      <c r="D81" s="2" t="s">
        <v>63</v>
      </c>
      <c r="E81" s="2" t="s">
        <v>36</v>
      </c>
      <c r="F81" s="3">
        <v>25.0</v>
      </c>
      <c r="G81" s="3">
        <v>10.0</v>
      </c>
      <c r="H81" s="3">
        <v>0.0</v>
      </c>
      <c r="I81" s="3">
        <v>0.0</v>
      </c>
      <c r="J81" s="3">
        <v>0.0</v>
      </c>
      <c r="K81" s="3">
        <v>283.0</v>
      </c>
      <c r="L81" s="3">
        <v>3.0</v>
      </c>
      <c r="M81" s="3">
        <v>17.0</v>
      </c>
      <c r="N81" s="3">
        <v>102.0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4">
        <f t="shared" si="1"/>
        <v>73.5</v>
      </c>
      <c r="Y81" s="4">
        <f t="shared" si="2"/>
        <v>7.35</v>
      </c>
    </row>
    <row r="82">
      <c r="A82" s="1" t="s">
        <v>215</v>
      </c>
      <c r="B82" s="1" t="s">
        <v>45</v>
      </c>
      <c r="C82" s="1" t="s">
        <v>216</v>
      </c>
      <c r="D82" s="2" t="s">
        <v>73</v>
      </c>
      <c r="E82" s="2" t="s">
        <v>51</v>
      </c>
      <c r="F82" s="3">
        <v>29.0</v>
      </c>
      <c r="G82" s="3">
        <v>9.0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28.0</v>
      </c>
      <c r="N82" s="3">
        <v>388.0</v>
      </c>
      <c r="O82" s="3">
        <v>3.0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4">
        <f t="shared" si="1"/>
        <v>84.8</v>
      </c>
      <c r="Y82" s="4">
        <f t="shared" si="2"/>
        <v>9.422222222</v>
      </c>
    </row>
    <row r="83">
      <c r="A83" s="5" t="s">
        <v>217</v>
      </c>
      <c r="B83" s="1" t="s">
        <v>75</v>
      </c>
      <c r="C83" s="1" t="s">
        <v>218</v>
      </c>
      <c r="D83" s="2" t="s">
        <v>73</v>
      </c>
      <c r="E83" s="2" t="s">
        <v>28</v>
      </c>
      <c r="F83" s="3">
        <v>29.0</v>
      </c>
      <c r="G83" s="3">
        <v>17.0</v>
      </c>
      <c r="H83" s="3">
        <v>0.0</v>
      </c>
      <c r="I83" s="3">
        <v>0.0</v>
      </c>
      <c r="J83" s="3">
        <v>0.0</v>
      </c>
      <c r="K83" s="3">
        <v>-1.0</v>
      </c>
      <c r="L83" s="3">
        <v>0.0</v>
      </c>
      <c r="M83" s="3">
        <v>100.0</v>
      </c>
      <c r="N83" s="3">
        <v>1516.0</v>
      </c>
      <c r="O83" s="3">
        <v>14.0</v>
      </c>
      <c r="P83" s="3">
        <v>1.0</v>
      </c>
      <c r="Q83" s="3">
        <v>0.0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  <c r="W83" s="3">
        <v>0.0</v>
      </c>
      <c r="X83" s="4">
        <f t="shared" si="1"/>
        <v>333.5</v>
      </c>
      <c r="Y83" s="4">
        <f t="shared" si="2"/>
        <v>19.61764706</v>
      </c>
    </row>
    <row r="84">
      <c r="A84" s="1" t="s">
        <v>219</v>
      </c>
      <c r="B84" s="1" t="s">
        <v>85</v>
      </c>
      <c r="C84" s="1" t="s">
        <v>59</v>
      </c>
      <c r="D84" s="2" t="s">
        <v>124</v>
      </c>
      <c r="E84" s="2" t="s">
        <v>36</v>
      </c>
      <c r="F84" s="3">
        <v>25.0</v>
      </c>
      <c r="G84" s="3">
        <v>16.0</v>
      </c>
      <c r="H84" s="3">
        <v>0.0</v>
      </c>
      <c r="I84" s="3">
        <v>0.0</v>
      </c>
      <c r="J84" s="3">
        <v>0.0</v>
      </c>
      <c r="K84" s="3">
        <v>801.0</v>
      </c>
      <c r="L84" s="3">
        <v>5.0</v>
      </c>
      <c r="M84" s="3">
        <v>34.0</v>
      </c>
      <c r="N84" s="3">
        <v>316.0</v>
      </c>
      <c r="O84" s="3">
        <v>1.0</v>
      </c>
      <c r="P84" s="3">
        <v>2.0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4">
        <f t="shared" si="1"/>
        <v>177.7</v>
      </c>
      <c r="Y84" s="4">
        <f t="shared" si="2"/>
        <v>11.10625</v>
      </c>
    </row>
    <row r="85">
      <c r="A85" s="1" t="s">
        <v>220</v>
      </c>
      <c r="B85" s="1" t="s">
        <v>155</v>
      </c>
      <c r="C85" s="1" t="s">
        <v>115</v>
      </c>
      <c r="D85" s="2" t="s">
        <v>70</v>
      </c>
      <c r="E85" s="2" t="s">
        <v>51</v>
      </c>
      <c r="F85" s="3">
        <v>26.0</v>
      </c>
      <c r="G85" s="3">
        <v>14.0</v>
      </c>
      <c r="H85" s="3">
        <v>0.0</v>
      </c>
      <c r="I85" s="3">
        <v>0.0</v>
      </c>
      <c r="J85" s="3">
        <v>0.0</v>
      </c>
      <c r="K85" s="3">
        <v>-8.0</v>
      </c>
      <c r="L85" s="3">
        <v>0.0</v>
      </c>
      <c r="M85" s="3">
        <v>58.0</v>
      </c>
      <c r="N85" s="3">
        <v>628.0</v>
      </c>
      <c r="O85" s="3">
        <v>4.0</v>
      </c>
      <c r="P85" s="3">
        <v>1.0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4">
        <f t="shared" si="1"/>
        <v>142</v>
      </c>
      <c r="Y85" s="4">
        <f t="shared" si="2"/>
        <v>10.14285714</v>
      </c>
    </row>
    <row r="86">
      <c r="A86" s="1" t="s">
        <v>221</v>
      </c>
      <c r="B86" s="1" t="s">
        <v>31</v>
      </c>
      <c r="C86" s="1" t="s">
        <v>91</v>
      </c>
      <c r="D86" s="2" t="s">
        <v>104</v>
      </c>
      <c r="E86" s="2" t="s">
        <v>39</v>
      </c>
      <c r="F86" s="3">
        <v>23.0</v>
      </c>
      <c r="G86" s="3">
        <v>15.0</v>
      </c>
      <c r="H86" s="3">
        <v>3118.0</v>
      </c>
      <c r="I86" s="3">
        <v>17.0</v>
      </c>
      <c r="J86" s="3">
        <v>15.0</v>
      </c>
      <c r="K86" s="3">
        <v>108.0</v>
      </c>
      <c r="L86" s="3">
        <v>2.0</v>
      </c>
      <c r="M86" s="3">
        <v>0.0</v>
      </c>
      <c r="N86" s="3">
        <v>0.0</v>
      </c>
      <c r="O86" s="3">
        <v>0.0</v>
      </c>
      <c r="P86" s="3">
        <v>8.0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4">
        <f t="shared" si="1"/>
        <v>169.52</v>
      </c>
      <c r="Y86" s="4">
        <f t="shared" si="2"/>
        <v>11.30133333</v>
      </c>
    </row>
    <row r="87">
      <c r="A87" s="1" t="s">
        <v>222</v>
      </c>
      <c r="B87" s="1" t="s">
        <v>65</v>
      </c>
      <c r="C87" s="1" t="s">
        <v>26</v>
      </c>
      <c r="D87" s="2" t="s">
        <v>223</v>
      </c>
      <c r="E87" s="2" t="s">
        <v>51</v>
      </c>
      <c r="F87" s="3">
        <v>25.0</v>
      </c>
      <c r="G87" s="3">
        <v>15.0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48.0</v>
      </c>
      <c r="N87" s="3">
        <v>517.0</v>
      </c>
      <c r="O87" s="3">
        <v>6.0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4">
        <f t="shared" si="1"/>
        <v>135.7</v>
      </c>
      <c r="Y87" s="4">
        <f t="shared" si="2"/>
        <v>9.046666667</v>
      </c>
    </row>
    <row r="88">
      <c r="A88" s="1" t="s">
        <v>224</v>
      </c>
      <c r="B88" s="1" t="s">
        <v>75</v>
      </c>
      <c r="C88" s="1" t="s">
        <v>225</v>
      </c>
      <c r="D88" s="2" t="s">
        <v>89</v>
      </c>
      <c r="E88" s="2" t="s">
        <v>28</v>
      </c>
      <c r="F88" s="3">
        <v>29.0</v>
      </c>
      <c r="G88" s="3">
        <v>17.0</v>
      </c>
      <c r="H88" s="3">
        <v>0.0</v>
      </c>
      <c r="I88" s="3">
        <v>0.0</v>
      </c>
      <c r="J88" s="3">
        <v>0.0</v>
      </c>
      <c r="K88" s="3">
        <v>-15.0</v>
      </c>
      <c r="L88" s="3">
        <v>0.0</v>
      </c>
      <c r="M88" s="3">
        <v>46.0</v>
      </c>
      <c r="N88" s="3">
        <v>538.0</v>
      </c>
      <c r="O88" s="3">
        <v>3.0</v>
      </c>
      <c r="P88" s="3">
        <v>3.0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4">
        <f t="shared" si="1"/>
        <v>110.3</v>
      </c>
      <c r="Y88" s="4">
        <f t="shared" si="2"/>
        <v>6.488235294</v>
      </c>
    </row>
    <row r="89">
      <c r="A89" s="1" t="s">
        <v>226</v>
      </c>
      <c r="B89" s="1" t="s">
        <v>30</v>
      </c>
      <c r="C89" s="1" t="s">
        <v>227</v>
      </c>
      <c r="D89" s="2" t="s">
        <v>32</v>
      </c>
      <c r="E89" s="2" t="s">
        <v>28</v>
      </c>
      <c r="F89" s="3">
        <v>30.0</v>
      </c>
      <c r="G89" s="3">
        <v>9.0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64.0</v>
      </c>
      <c r="N89" s="3">
        <v>717.0</v>
      </c>
      <c r="O89" s="3">
        <v>3.0</v>
      </c>
      <c r="P89" s="3">
        <v>2.0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  <c r="X89" s="4">
        <f t="shared" si="1"/>
        <v>149.7</v>
      </c>
      <c r="Y89" s="4">
        <f t="shared" si="2"/>
        <v>16.63333333</v>
      </c>
    </row>
    <row r="90">
      <c r="A90" s="1" t="s">
        <v>228</v>
      </c>
      <c r="B90" s="1" t="s">
        <v>30</v>
      </c>
      <c r="C90" s="1" t="s">
        <v>30</v>
      </c>
      <c r="D90" s="2" t="s">
        <v>108</v>
      </c>
      <c r="E90" s="2" t="s">
        <v>28</v>
      </c>
      <c r="F90" s="3">
        <v>26.0</v>
      </c>
      <c r="G90" s="3">
        <v>13.0</v>
      </c>
      <c r="H90" s="3">
        <v>0.0</v>
      </c>
      <c r="I90" s="3">
        <v>0.0</v>
      </c>
      <c r="J90" s="3">
        <v>0.0</v>
      </c>
      <c r="K90" s="3">
        <v>232.0</v>
      </c>
      <c r="L90" s="3">
        <v>3.0</v>
      </c>
      <c r="M90" s="3">
        <v>56.0</v>
      </c>
      <c r="N90" s="3">
        <v>632.0</v>
      </c>
      <c r="O90" s="3">
        <v>2.0</v>
      </c>
      <c r="P90" s="3">
        <v>3.0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4">
        <f t="shared" si="1"/>
        <v>166.4</v>
      </c>
      <c r="Y90" s="4">
        <f t="shared" si="2"/>
        <v>12.8</v>
      </c>
    </row>
    <row r="91">
      <c r="A91" s="1" t="s">
        <v>229</v>
      </c>
      <c r="B91" s="1" t="s">
        <v>31</v>
      </c>
      <c r="C91" s="1" t="s">
        <v>68</v>
      </c>
      <c r="D91" s="2" t="s">
        <v>230</v>
      </c>
      <c r="E91" s="2" t="s">
        <v>28</v>
      </c>
      <c r="F91" s="3">
        <v>27.0</v>
      </c>
      <c r="G91" s="3">
        <v>17.0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48.0</v>
      </c>
      <c r="N91" s="3">
        <v>458.0</v>
      </c>
      <c r="O91" s="3">
        <v>2.0</v>
      </c>
      <c r="P91" s="3">
        <v>2.0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4">
        <f t="shared" si="1"/>
        <v>101.8</v>
      </c>
      <c r="Y91" s="4">
        <f t="shared" si="2"/>
        <v>5.988235294</v>
      </c>
    </row>
    <row r="92">
      <c r="A92" s="1" t="s">
        <v>231</v>
      </c>
      <c r="B92" s="1" t="s">
        <v>31</v>
      </c>
      <c r="C92" s="1" t="s">
        <v>210</v>
      </c>
      <c r="D92" s="2" t="s">
        <v>54</v>
      </c>
      <c r="E92" s="2" t="s">
        <v>36</v>
      </c>
      <c r="F92" s="3">
        <v>23.0</v>
      </c>
      <c r="G92" s="3">
        <v>16.0</v>
      </c>
      <c r="H92" s="3">
        <v>0.0</v>
      </c>
      <c r="I92" s="3">
        <v>0.0</v>
      </c>
      <c r="J92" s="3">
        <v>0.0</v>
      </c>
      <c r="K92" s="3">
        <v>236.0</v>
      </c>
      <c r="L92" s="3">
        <v>1.0</v>
      </c>
      <c r="M92" s="3">
        <v>30.0</v>
      </c>
      <c r="N92" s="3">
        <v>209.0</v>
      </c>
      <c r="O92" s="3">
        <v>1.0</v>
      </c>
      <c r="P92" s="3">
        <v>1.0</v>
      </c>
      <c r="Q92" s="3">
        <v>0.0</v>
      </c>
      <c r="R92" s="3">
        <v>0.0</v>
      </c>
      <c r="S92" s="3">
        <v>0.0</v>
      </c>
      <c r="T92" s="3">
        <v>0.0</v>
      </c>
      <c r="U92" s="3">
        <v>0.0</v>
      </c>
      <c r="V92" s="3">
        <v>0.0</v>
      </c>
      <c r="W92" s="3">
        <v>0.0</v>
      </c>
      <c r="X92" s="4">
        <f t="shared" si="1"/>
        <v>84.5</v>
      </c>
      <c r="Y92" s="4">
        <f t="shared" si="2"/>
        <v>5.28125</v>
      </c>
    </row>
    <row r="93">
      <c r="A93" s="1" t="s">
        <v>232</v>
      </c>
      <c r="B93" s="1" t="s">
        <v>38</v>
      </c>
      <c r="C93" s="1" t="s">
        <v>218</v>
      </c>
      <c r="D93" s="2" t="s">
        <v>73</v>
      </c>
      <c r="E93" s="2" t="s">
        <v>39</v>
      </c>
      <c r="F93" s="3">
        <v>31.0</v>
      </c>
      <c r="G93" s="3">
        <v>15.0</v>
      </c>
      <c r="H93" s="3">
        <v>3522.0</v>
      </c>
      <c r="I93" s="3">
        <v>24.0</v>
      </c>
      <c r="J93" s="3">
        <v>14.0</v>
      </c>
      <c r="K93" s="3">
        <v>102.0</v>
      </c>
      <c r="L93" s="3">
        <v>0.0</v>
      </c>
      <c r="M93" s="3">
        <v>0.0</v>
      </c>
      <c r="N93" s="3">
        <v>0.0</v>
      </c>
      <c r="O93" s="3">
        <v>0.0</v>
      </c>
      <c r="P93" s="3">
        <v>4.0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4">
        <f t="shared" si="1"/>
        <v>211.08</v>
      </c>
      <c r="Y93" s="4">
        <f t="shared" si="2"/>
        <v>14.072</v>
      </c>
    </row>
    <row r="94">
      <c r="A94" s="1" t="s">
        <v>233</v>
      </c>
      <c r="B94" s="1" t="s">
        <v>68</v>
      </c>
      <c r="C94" s="1" t="s">
        <v>69</v>
      </c>
      <c r="D94" s="2" t="s">
        <v>92</v>
      </c>
      <c r="E94" s="2" t="s">
        <v>36</v>
      </c>
      <c r="F94" s="3">
        <v>28.0</v>
      </c>
      <c r="G94" s="3">
        <v>16.0</v>
      </c>
      <c r="H94" s="3">
        <v>4.0</v>
      </c>
      <c r="I94" s="3">
        <v>1.0</v>
      </c>
      <c r="J94" s="3">
        <v>0.0</v>
      </c>
      <c r="K94" s="3">
        <v>1538.0</v>
      </c>
      <c r="L94" s="3">
        <v>13.0</v>
      </c>
      <c r="M94" s="3">
        <v>33.0</v>
      </c>
      <c r="N94" s="3">
        <v>398.0</v>
      </c>
      <c r="O94" s="3">
        <v>0.0</v>
      </c>
      <c r="P94" s="3">
        <v>6.0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4">
        <f t="shared" si="1"/>
        <v>296.76</v>
      </c>
      <c r="Y94" s="4">
        <f t="shared" si="2"/>
        <v>18.5475</v>
      </c>
    </row>
    <row r="95">
      <c r="A95" s="1" t="s">
        <v>234</v>
      </c>
      <c r="B95" s="1" t="s">
        <v>202</v>
      </c>
      <c r="C95" s="1" t="s">
        <v>235</v>
      </c>
      <c r="D95" s="2" t="s">
        <v>203</v>
      </c>
      <c r="E95" s="2" t="s">
        <v>28</v>
      </c>
      <c r="F95" s="3">
        <v>29.0</v>
      </c>
      <c r="G95" s="3">
        <v>13.0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3">
        <v>31.0</v>
      </c>
      <c r="N95" s="3">
        <v>539.0</v>
      </c>
      <c r="O95" s="3">
        <v>3.0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4">
        <f t="shared" si="1"/>
        <v>102.9</v>
      </c>
      <c r="Y95" s="4">
        <f t="shared" si="2"/>
        <v>7.915384615</v>
      </c>
    </row>
    <row r="96">
      <c r="A96" s="1" t="s">
        <v>236</v>
      </c>
      <c r="B96" s="1" t="s">
        <v>79</v>
      </c>
      <c r="C96" s="1" t="s">
        <v>79</v>
      </c>
      <c r="D96" s="2" t="s">
        <v>230</v>
      </c>
      <c r="E96" s="2" t="s">
        <v>28</v>
      </c>
      <c r="F96" s="3">
        <v>24.0</v>
      </c>
      <c r="G96" s="3">
        <v>14.0</v>
      </c>
      <c r="H96" s="3">
        <v>0.0</v>
      </c>
      <c r="I96" s="3">
        <v>0.0</v>
      </c>
      <c r="J96" s="3">
        <v>0.0</v>
      </c>
      <c r="K96" s="3">
        <v>84.0</v>
      </c>
      <c r="L96" s="3">
        <v>1.0</v>
      </c>
      <c r="M96" s="3">
        <v>37.0</v>
      </c>
      <c r="N96" s="3">
        <v>407.0</v>
      </c>
      <c r="O96" s="3">
        <v>3.0</v>
      </c>
      <c r="P96" s="3">
        <v>1.0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4">
        <f t="shared" si="1"/>
        <v>108.1</v>
      </c>
      <c r="Y96" s="4">
        <f t="shared" si="2"/>
        <v>7.721428571</v>
      </c>
    </row>
    <row r="97">
      <c r="A97" s="1" t="s">
        <v>237</v>
      </c>
      <c r="B97" s="1" t="s">
        <v>68</v>
      </c>
      <c r="C97" s="1" t="s">
        <v>238</v>
      </c>
      <c r="D97" s="2" t="s">
        <v>223</v>
      </c>
      <c r="E97" s="2" t="s">
        <v>36</v>
      </c>
      <c r="F97" s="3">
        <v>24.0</v>
      </c>
      <c r="G97" s="3">
        <v>16.0</v>
      </c>
      <c r="H97" s="3">
        <v>0.0</v>
      </c>
      <c r="I97" s="3">
        <v>0.0</v>
      </c>
      <c r="J97" s="3">
        <v>0.0</v>
      </c>
      <c r="K97" s="3">
        <v>819.0</v>
      </c>
      <c r="L97" s="3">
        <v>5.0</v>
      </c>
      <c r="M97" s="3">
        <v>38.0</v>
      </c>
      <c r="N97" s="3">
        <v>280.0</v>
      </c>
      <c r="O97" s="3">
        <v>1.0</v>
      </c>
      <c r="P97" s="3">
        <v>3.0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4">
        <f t="shared" si="1"/>
        <v>177.9</v>
      </c>
      <c r="Y97" s="4">
        <f t="shared" si="2"/>
        <v>11.11875</v>
      </c>
    </row>
    <row r="98">
      <c r="A98" s="1" t="s">
        <v>239</v>
      </c>
      <c r="B98" s="1" t="s">
        <v>100</v>
      </c>
      <c r="C98" s="1" t="s">
        <v>69</v>
      </c>
      <c r="D98" s="2" t="s">
        <v>27</v>
      </c>
      <c r="E98" s="2" t="s">
        <v>28</v>
      </c>
      <c r="F98" s="3">
        <v>23.0</v>
      </c>
      <c r="G98" s="3">
        <v>17.0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>
        <v>95.0</v>
      </c>
      <c r="N98" s="3">
        <v>1196.0</v>
      </c>
      <c r="O98" s="3">
        <v>7.0</v>
      </c>
      <c r="P98" s="3">
        <v>1.0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4">
        <f t="shared" si="1"/>
        <v>254.6</v>
      </c>
      <c r="Y98" s="4">
        <f t="shared" si="2"/>
        <v>14.97647059</v>
      </c>
    </row>
    <row r="99">
      <c r="A99" s="1" t="s">
        <v>240</v>
      </c>
      <c r="B99" s="1" t="s">
        <v>68</v>
      </c>
      <c r="C99" s="1" t="s">
        <v>241</v>
      </c>
      <c r="D99" s="2" t="s">
        <v>149</v>
      </c>
      <c r="E99" s="2" t="s">
        <v>28</v>
      </c>
      <c r="F99" s="3">
        <v>26.0</v>
      </c>
      <c r="G99" s="3">
        <v>17.0</v>
      </c>
      <c r="H99" s="3">
        <v>0.0</v>
      </c>
      <c r="I99" s="3">
        <v>0.0</v>
      </c>
      <c r="J99" s="3">
        <v>0.0</v>
      </c>
      <c r="K99" s="3">
        <v>25.0</v>
      </c>
      <c r="L99" s="3">
        <v>0.0</v>
      </c>
      <c r="M99" s="3">
        <v>86.0</v>
      </c>
      <c r="N99" s="3">
        <v>882.0</v>
      </c>
      <c r="O99" s="3">
        <v>0.0</v>
      </c>
      <c r="P99" s="3">
        <v>1.0</v>
      </c>
      <c r="Q99" s="3">
        <v>2.0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4">
        <f t="shared" si="1"/>
        <v>178.7</v>
      </c>
      <c r="Y99" s="4">
        <f t="shared" si="2"/>
        <v>10.51176471</v>
      </c>
    </row>
    <row r="100">
      <c r="A100" s="1" t="s">
        <v>242</v>
      </c>
      <c r="B100" s="1" t="s">
        <v>100</v>
      </c>
      <c r="C100" s="1" t="s">
        <v>131</v>
      </c>
      <c r="D100" s="2" t="s">
        <v>77</v>
      </c>
      <c r="E100" s="2" t="s">
        <v>28</v>
      </c>
      <c r="F100" s="3">
        <v>25.0</v>
      </c>
      <c r="G100" s="3">
        <v>11.0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30.0</v>
      </c>
      <c r="N100" s="3">
        <v>502.0</v>
      </c>
      <c r="O100" s="3">
        <v>3.0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4">
        <f t="shared" si="1"/>
        <v>98.2</v>
      </c>
      <c r="Y100" s="4">
        <f t="shared" si="2"/>
        <v>8.927272727</v>
      </c>
    </row>
    <row r="101">
      <c r="A101" s="1" t="s">
        <v>243</v>
      </c>
      <c r="B101" s="1" t="s">
        <v>110</v>
      </c>
      <c r="C101" s="1" t="s">
        <v>45</v>
      </c>
      <c r="D101" s="2" t="s">
        <v>95</v>
      </c>
      <c r="E101" s="2" t="s">
        <v>28</v>
      </c>
      <c r="F101" s="3">
        <v>25.0</v>
      </c>
      <c r="G101" s="3">
        <v>17.0</v>
      </c>
      <c r="H101" s="3">
        <v>0.0</v>
      </c>
      <c r="I101" s="3">
        <v>0.0</v>
      </c>
      <c r="J101" s="3">
        <v>0.0</v>
      </c>
      <c r="K101" s="3">
        <v>53.0</v>
      </c>
      <c r="L101" s="3">
        <v>0.0</v>
      </c>
      <c r="M101" s="3">
        <v>63.0</v>
      </c>
      <c r="N101" s="3">
        <v>888.0</v>
      </c>
      <c r="O101" s="3">
        <v>7.0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4">
        <f t="shared" si="1"/>
        <v>199.1</v>
      </c>
      <c r="Y101" s="4">
        <f t="shared" si="2"/>
        <v>11.71176471</v>
      </c>
    </row>
    <row r="102">
      <c r="A102" s="1" t="s">
        <v>244</v>
      </c>
      <c r="B102" s="1" t="s">
        <v>61</v>
      </c>
      <c r="C102" s="1" t="s">
        <v>61</v>
      </c>
      <c r="D102" s="2" t="s">
        <v>70</v>
      </c>
      <c r="E102" s="2" t="s">
        <v>28</v>
      </c>
      <c r="F102" s="3">
        <v>23.0</v>
      </c>
      <c r="G102" s="3">
        <v>17.0</v>
      </c>
      <c r="H102" s="3">
        <v>0.0</v>
      </c>
      <c r="I102" s="3">
        <v>0.0</v>
      </c>
      <c r="J102" s="3">
        <v>0.0</v>
      </c>
      <c r="K102" s="3">
        <v>2.0</v>
      </c>
      <c r="L102" s="3">
        <v>0.0</v>
      </c>
      <c r="M102" s="3">
        <v>61.0</v>
      </c>
      <c r="N102" s="3">
        <v>839.0</v>
      </c>
      <c r="O102" s="3">
        <v>3.0</v>
      </c>
      <c r="P102" s="3">
        <v>1.0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4">
        <f t="shared" si="1"/>
        <v>161.1</v>
      </c>
      <c r="Y102" s="4">
        <f t="shared" si="2"/>
        <v>9.476470588</v>
      </c>
    </row>
    <row r="103">
      <c r="A103" s="1" t="s">
        <v>245</v>
      </c>
      <c r="B103" s="1" t="s">
        <v>100</v>
      </c>
      <c r="C103" s="1" t="s">
        <v>134</v>
      </c>
      <c r="D103" s="2" t="s">
        <v>92</v>
      </c>
      <c r="E103" s="2" t="s">
        <v>36</v>
      </c>
      <c r="F103" s="3">
        <v>27.0</v>
      </c>
      <c r="G103" s="3">
        <v>12.0</v>
      </c>
      <c r="H103" s="3">
        <v>0.0</v>
      </c>
      <c r="I103" s="3">
        <v>0.0</v>
      </c>
      <c r="J103" s="3">
        <v>0.0</v>
      </c>
      <c r="K103" s="3">
        <v>145.0</v>
      </c>
      <c r="L103" s="3">
        <v>0.0</v>
      </c>
      <c r="M103" s="3">
        <v>21.0</v>
      </c>
      <c r="N103" s="3">
        <v>177.0</v>
      </c>
      <c r="O103" s="3">
        <v>4.0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4">
        <f t="shared" si="1"/>
        <v>77.2</v>
      </c>
      <c r="Y103" s="4">
        <f t="shared" si="2"/>
        <v>6.433333333</v>
      </c>
    </row>
    <row r="104">
      <c r="A104" s="1" t="s">
        <v>246</v>
      </c>
      <c r="B104" s="1" t="s">
        <v>75</v>
      </c>
      <c r="C104" s="1" t="s">
        <v>76</v>
      </c>
      <c r="D104" s="2" t="s">
        <v>137</v>
      </c>
      <c r="E104" s="2" t="s">
        <v>28</v>
      </c>
      <c r="F104" s="3">
        <v>21.0</v>
      </c>
      <c r="G104" s="3">
        <v>17.0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>
        <v>72.0</v>
      </c>
      <c r="N104" s="3">
        <v>866.0</v>
      </c>
      <c r="O104" s="3">
        <v>4.0</v>
      </c>
      <c r="P104" s="3">
        <v>3.0</v>
      </c>
      <c r="Q104" s="3">
        <v>1.0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4">
        <f t="shared" si="1"/>
        <v>178.6</v>
      </c>
      <c r="Y104" s="4">
        <f t="shared" si="2"/>
        <v>10.50588235</v>
      </c>
    </row>
    <row r="105">
      <c r="A105" s="1" t="s">
        <v>247</v>
      </c>
      <c r="B105" s="1" t="s">
        <v>68</v>
      </c>
      <c r="C105" s="1" t="s">
        <v>68</v>
      </c>
      <c r="D105" s="2" t="s">
        <v>95</v>
      </c>
      <c r="E105" s="2" t="s">
        <v>112</v>
      </c>
      <c r="F105" s="3">
        <v>26.0</v>
      </c>
      <c r="G105" s="3">
        <v>17.0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30.0</v>
      </c>
      <c r="S105" s="3">
        <v>18.0</v>
      </c>
      <c r="T105" s="3">
        <v>13.0</v>
      </c>
      <c r="U105" s="3">
        <v>2.0</v>
      </c>
      <c r="V105" s="3">
        <v>0.0</v>
      </c>
      <c r="W105" s="3">
        <v>2.0</v>
      </c>
      <c r="X105" s="4">
        <f t="shared" si="1"/>
        <v>144</v>
      </c>
      <c r="Y105" s="4">
        <f t="shared" si="2"/>
        <v>8.470588235</v>
      </c>
    </row>
    <row r="106">
      <c r="A106" s="1" t="s">
        <v>248</v>
      </c>
      <c r="B106" s="1" t="s">
        <v>68</v>
      </c>
      <c r="C106" s="1" t="s">
        <v>26</v>
      </c>
      <c r="D106" s="2" t="s">
        <v>116</v>
      </c>
      <c r="E106" s="2" t="s">
        <v>28</v>
      </c>
      <c r="F106" s="3">
        <v>22.0</v>
      </c>
      <c r="G106" s="3">
        <v>16.0</v>
      </c>
      <c r="H106" s="3">
        <v>0.0</v>
      </c>
      <c r="I106" s="3">
        <v>0.0</v>
      </c>
      <c r="J106" s="3">
        <v>0.0</v>
      </c>
      <c r="K106" s="3">
        <v>5.0</v>
      </c>
      <c r="L106" s="3">
        <v>0.0</v>
      </c>
      <c r="M106" s="3">
        <v>37.0</v>
      </c>
      <c r="N106" s="3">
        <v>446.0</v>
      </c>
      <c r="O106" s="3">
        <v>1.0</v>
      </c>
      <c r="P106" s="3">
        <v>1.0</v>
      </c>
      <c r="Q106" s="3">
        <v>0.0</v>
      </c>
      <c r="R106" s="3">
        <v>0.0</v>
      </c>
      <c r="S106" s="3">
        <v>0.0</v>
      </c>
      <c r="T106" s="3">
        <v>0.0</v>
      </c>
      <c r="U106" s="3">
        <v>0.0</v>
      </c>
      <c r="V106" s="3">
        <v>0.0</v>
      </c>
      <c r="W106" s="3">
        <v>0.0</v>
      </c>
      <c r="X106" s="4">
        <f t="shared" si="1"/>
        <v>86.1</v>
      </c>
      <c r="Y106" s="4">
        <f t="shared" si="2"/>
        <v>5.38125</v>
      </c>
    </row>
    <row r="107">
      <c r="A107" s="1" t="s">
        <v>249</v>
      </c>
      <c r="B107" s="2" t="s">
        <v>79</v>
      </c>
      <c r="C107" s="1" t="s">
        <v>107</v>
      </c>
      <c r="D107" s="2" t="s">
        <v>32</v>
      </c>
      <c r="E107" s="2" t="s">
        <v>36</v>
      </c>
      <c r="F107" s="3">
        <v>23.0</v>
      </c>
      <c r="G107" s="3">
        <v>15.0</v>
      </c>
      <c r="H107" s="3">
        <v>0.0</v>
      </c>
      <c r="I107" s="3">
        <v>0.0</v>
      </c>
      <c r="J107" s="3">
        <v>0.0</v>
      </c>
      <c r="K107" s="3">
        <v>313.0</v>
      </c>
      <c r="L107" s="3">
        <v>2.0</v>
      </c>
      <c r="M107" s="3">
        <v>25.0</v>
      </c>
      <c r="N107" s="3">
        <v>193.0</v>
      </c>
      <c r="O107" s="3">
        <v>0.0</v>
      </c>
      <c r="P107" s="3">
        <v>0.0</v>
      </c>
      <c r="Q107" s="3">
        <v>1.0</v>
      </c>
      <c r="R107" s="3">
        <v>0.0</v>
      </c>
      <c r="S107" s="3">
        <v>0.0</v>
      </c>
      <c r="T107" s="3">
        <v>0.0</v>
      </c>
      <c r="U107" s="3">
        <v>0.0</v>
      </c>
      <c r="V107" s="3">
        <v>0.0</v>
      </c>
      <c r="W107" s="3">
        <v>0.0</v>
      </c>
      <c r="X107" s="4">
        <f t="shared" si="1"/>
        <v>89.6</v>
      </c>
      <c r="Y107" s="4">
        <f t="shared" si="2"/>
        <v>5.973333333</v>
      </c>
    </row>
    <row r="108">
      <c r="A108" s="1" t="s">
        <v>250</v>
      </c>
      <c r="B108" s="1" t="s">
        <v>75</v>
      </c>
      <c r="C108" s="1" t="s">
        <v>98</v>
      </c>
      <c r="D108" s="2" t="s">
        <v>124</v>
      </c>
      <c r="E108" s="2" t="s">
        <v>28</v>
      </c>
      <c r="F108" s="3">
        <v>25.0</v>
      </c>
      <c r="G108" s="3">
        <v>16.0</v>
      </c>
      <c r="H108" s="3">
        <v>0.0</v>
      </c>
      <c r="I108" s="3">
        <v>0.0</v>
      </c>
      <c r="J108" s="3">
        <v>0.0</v>
      </c>
      <c r="K108" s="3">
        <v>54.0</v>
      </c>
      <c r="L108" s="3">
        <v>0.0</v>
      </c>
      <c r="M108" s="3">
        <v>21.0</v>
      </c>
      <c r="N108" s="3">
        <v>323.0</v>
      </c>
      <c r="O108" s="3">
        <v>1.0</v>
      </c>
      <c r="P108" s="3">
        <v>1.0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  <c r="X108" s="4">
        <f t="shared" si="1"/>
        <v>62.7</v>
      </c>
      <c r="Y108" s="4">
        <f t="shared" si="2"/>
        <v>3.91875</v>
      </c>
    </row>
    <row r="109">
      <c r="A109" s="1" t="s">
        <v>251</v>
      </c>
      <c r="B109" s="1" t="s">
        <v>31</v>
      </c>
      <c r="C109" s="1" t="s">
        <v>26</v>
      </c>
      <c r="D109" s="2" t="s">
        <v>164</v>
      </c>
      <c r="E109" s="2" t="s">
        <v>51</v>
      </c>
      <c r="F109" s="3">
        <v>27.0</v>
      </c>
      <c r="G109" s="3">
        <v>17.0</v>
      </c>
      <c r="H109" s="3">
        <v>0.0</v>
      </c>
      <c r="I109" s="3">
        <v>0.0</v>
      </c>
      <c r="J109" s="3">
        <v>0.0</v>
      </c>
      <c r="K109" s="3">
        <v>13.0</v>
      </c>
      <c r="L109" s="3">
        <v>0.0</v>
      </c>
      <c r="M109" s="3">
        <v>73.0</v>
      </c>
      <c r="N109" s="3">
        <v>766.0</v>
      </c>
      <c r="O109" s="3">
        <v>4.0</v>
      </c>
      <c r="P109" s="3">
        <v>0.0</v>
      </c>
      <c r="Q109" s="3">
        <v>1.0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4">
        <f t="shared" si="1"/>
        <v>176.9</v>
      </c>
      <c r="Y109" s="4">
        <f t="shared" si="2"/>
        <v>10.40588235</v>
      </c>
    </row>
    <row r="110">
      <c r="A110" s="1" t="s">
        <v>252</v>
      </c>
      <c r="B110" s="1" t="s">
        <v>69</v>
      </c>
      <c r="C110" s="1" t="s">
        <v>68</v>
      </c>
      <c r="D110" s="2" t="s">
        <v>253</v>
      </c>
      <c r="E110" s="2" t="s">
        <v>112</v>
      </c>
      <c r="F110" s="3">
        <v>23.0</v>
      </c>
      <c r="G110" s="3">
        <v>16.0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>
        <v>40.0</v>
      </c>
      <c r="S110" s="3">
        <v>10.0</v>
      </c>
      <c r="T110" s="3">
        <v>9.0</v>
      </c>
      <c r="U110" s="3">
        <v>5.0</v>
      </c>
      <c r="V110" s="3">
        <v>0.0</v>
      </c>
      <c r="W110" s="3">
        <v>5.0</v>
      </c>
      <c r="X110" s="4">
        <f t="shared" si="1"/>
        <v>126</v>
      </c>
      <c r="Y110" s="4">
        <f t="shared" si="2"/>
        <v>7.875</v>
      </c>
    </row>
    <row r="111">
      <c r="A111" s="1" t="s">
        <v>254</v>
      </c>
      <c r="B111" s="1" t="s">
        <v>49</v>
      </c>
      <c r="C111" s="1" t="s">
        <v>161</v>
      </c>
      <c r="D111" s="2" t="s">
        <v>118</v>
      </c>
      <c r="E111" s="2" t="s">
        <v>36</v>
      </c>
      <c r="F111" s="3">
        <v>27.0</v>
      </c>
      <c r="G111" s="3">
        <v>15.0</v>
      </c>
      <c r="H111" s="3">
        <v>0.0</v>
      </c>
      <c r="I111" s="3">
        <v>0.0</v>
      </c>
      <c r="J111" s="3">
        <v>0.0</v>
      </c>
      <c r="K111" s="3">
        <v>876.0</v>
      </c>
      <c r="L111" s="3">
        <v>12.0</v>
      </c>
      <c r="M111" s="3">
        <v>17.0</v>
      </c>
      <c r="N111" s="3">
        <v>92.0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  <c r="X111" s="4">
        <f t="shared" si="1"/>
        <v>185.8</v>
      </c>
      <c r="Y111" s="4">
        <f t="shared" si="2"/>
        <v>12.38666667</v>
      </c>
    </row>
    <row r="112">
      <c r="A112" s="1" t="s">
        <v>255</v>
      </c>
      <c r="B112" s="1" t="s">
        <v>100</v>
      </c>
      <c r="C112" s="1" t="s">
        <v>131</v>
      </c>
      <c r="D112" s="2" t="s">
        <v>73</v>
      </c>
      <c r="E112" s="2" t="s">
        <v>51</v>
      </c>
      <c r="F112" s="3">
        <v>25.0</v>
      </c>
      <c r="G112" s="3">
        <v>15.0</v>
      </c>
      <c r="H112" s="3">
        <v>0.0</v>
      </c>
      <c r="I112" s="3">
        <v>0.0</v>
      </c>
      <c r="J112" s="3">
        <v>0.0</v>
      </c>
      <c r="K112" s="3">
        <v>2.0</v>
      </c>
      <c r="L112" s="3">
        <v>0.0</v>
      </c>
      <c r="M112" s="3">
        <v>33.0</v>
      </c>
      <c r="N112" s="3">
        <v>420.0</v>
      </c>
      <c r="O112" s="3">
        <v>2.0</v>
      </c>
      <c r="P112" s="3">
        <v>1.0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4">
        <f t="shared" si="1"/>
        <v>85.2</v>
      </c>
      <c r="Y112" s="4">
        <f t="shared" si="2"/>
        <v>5.68</v>
      </c>
    </row>
    <row r="113">
      <c r="A113" s="1" t="s">
        <v>256</v>
      </c>
      <c r="B113" s="1" t="s">
        <v>68</v>
      </c>
      <c r="C113" s="1" t="s">
        <v>257</v>
      </c>
      <c r="D113" s="2" t="s">
        <v>223</v>
      </c>
      <c r="E113" s="2" t="s">
        <v>28</v>
      </c>
      <c r="F113" s="3">
        <v>23.0</v>
      </c>
      <c r="G113" s="3">
        <v>15.0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>
        <v>48.0</v>
      </c>
      <c r="N113" s="3">
        <v>836.0</v>
      </c>
      <c r="O113" s="3">
        <v>7.0</v>
      </c>
      <c r="P113" s="3">
        <v>1.0</v>
      </c>
      <c r="Q113" s="3">
        <v>0.0</v>
      </c>
      <c r="R113" s="3">
        <v>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4">
        <f t="shared" si="1"/>
        <v>171.6</v>
      </c>
      <c r="Y113" s="4">
        <f t="shared" si="2"/>
        <v>11.44</v>
      </c>
    </row>
    <row r="114">
      <c r="A114" s="1" t="s">
        <v>258</v>
      </c>
      <c r="B114" s="2" t="s">
        <v>85</v>
      </c>
      <c r="C114" s="1" t="s">
        <v>161</v>
      </c>
      <c r="D114" s="2" t="s">
        <v>116</v>
      </c>
      <c r="E114" s="2" t="s">
        <v>28</v>
      </c>
      <c r="F114" s="3">
        <v>22.0</v>
      </c>
      <c r="G114" s="3">
        <v>17.0</v>
      </c>
      <c r="H114" s="3">
        <v>0.0</v>
      </c>
      <c r="I114" s="3">
        <v>0.0</v>
      </c>
      <c r="J114" s="3">
        <v>0.0</v>
      </c>
      <c r="K114" s="3">
        <v>4.0</v>
      </c>
      <c r="L114" s="3">
        <v>0.0</v>
      </c>
      <c r="M114" s="3">
        <v>83.0</v>
      </c>
      <c r="N114" s="3">
        <v>1103.0</v>
      </c>
      <c r="O114" s="3">
        <v>4.0</v>
      </c>
      <c r="P114" s="3">
        <v>2.0</v>
      </c>
      <c r="Q114" s="3">
        <v>0.0</v>
      </c>
      <c r="R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4">
        <f t="shared" si="1"/>
        <v>213.7</v>
      </c>
      <c r="Y114" s="4">
        <f t="shared" si="2"/>
        <v>12.57058824</v>
      </c>
    </row>
    <row r="115">
      <c r="A115" s="1" t="s">
        <v>259</v>
      </c>
      <c r="B115" s="1" t="s">
        <v>68</v>
      </c>
      <c r="C115" s="1" t="s">
        <v>260</v>
      </c>
      <c r="D115" s="2" t="s">
        <v>174</v>
      </c>
      <c r="E115" s="2" t="s">
        <v>39</v>
      </c>
      <c r="F115" s="3">
        <v>31.0</v>
      </c>
      <c r="G115" s="3">
        <v>17.0</v>
      </c>
      <c r="H115" s="3">
        <v>4282.0</v>
      </c>
      <c r="I115" s="3">
        <v>30.0</v>
      </c>
      <c r="J115" s="3">
        <v>11.0</v>
      </c>
      <c r="K115" s="3">
        <v>366.0</v>
      </c>
      <c r="L115" s="3">
        <v>1.0</v>
      </c>
      <c r="M115" s="3">
        <v>1.0</v>
      </c>
      <c r="N115" s="3">
        <v>13.0</v>
      </c>
      <c r="O115" s="3">
        <v>0.0</v>
      </c>
      <c r="P115" s="3">
        <v>8.0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4">
        <f t="shared" si="1"/>
        <v>298.18</v>
      </c>
      <c r="Y115" s="4">
        <f t="shared" si="2"/>
        <v>17.54</v>
      </c>
    </row>
    <row r="116">
      <c r="A116" s="1" t="s">
        <v>261</v>
      </c>
      <c r="B116" s="1" t="s">
        <v>262</v>
      </c>
      <c r="C116" s="1" t="s">
        <v>58</v>
      </c>
      <c r="D116" s="2" t="s">
        <v>108</v>
      </c>
      <c r="E116" s="2" t="s">
        <v>51</v>
      </c>
      <c r="F116" s="3">
        <v>28.0</v>
      </c>
      <c r="G116" s="3">
        <v>15.0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60.0</v>
      </c>
      <c r="N116" s="3">
        <v>765.0</v>
      </c>
      <c r="O116" s="3">
        <v>11.0</v>
      </c>
      <c r="P116" s="3">
        <v>1.0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  <c r="X116" s="4">
        <f t="shared" si="1"/>
        <v>200.5</v>
      </c>
      <c r="Y116" s="4">
        <f t="shared" si="2"/>
        <v>13.36666667</v>
      </c>
    </row>
    <row r="117">
      <c r="A117" s="1" t="s">
        <v>263</v>
      </c>
      <c r="B117" s="2" t="s">
        <v>69</v>
      </c>
      <c r="C117" s="1" t="s">
        <v>31</v>
      </c>
      <c r="D117" s="2" t="s">
        <v>149</v>
      </c>
      <c r="E117" s="2" t="s">
        <v>28</v>
      </c>
      <c r="F117" s="3">
        <v>21.0</v>
      </c>
      <c r="G117" s="3">
        <v>17.0</v>
      </c>
      <c r="H117" s="3">
        <v>0.0</v>
      </c>
      <c r="I117" s="3">
        <v>0.0</v>
      </c>
      <c r="J117" s="3">
        <v>0.0</v>
      </c>
      <c r="K117" s="3">
        <v>24.0</v>
      </c>
      <c r="L117" s="3">
        <v>1.0</v>
      </c>
      <c r="M117" s="3">
        <v>52.0</v>
      </c>
      <c r="N117" s="3">
        <v>801.0</v>
      </c>
      <c r="O117" s="3">
        <v>4.0</v>
      </c>
      <c r="P117" s="3">
        <v>0.0</v>
      </c>
      <c r="Q117" s="3">
        <v>1.0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  <c r="X117" s="4">
        <f t="shared" si="1"/>
        <v>166.5</v>
      </c>
      <c r="Y117" s="4">
        <f t="shared" si="2"/>
        <v>9.794117647</v>
      </c>
    </row>
    <row r="118">
      <c r="A118" s="1" t="s">
        <v>264</v>
      </c>
      <c r="B118" s="1" t="s">
        <v>31</v>
      </c>
      <c r="C118" s="1" t="s">
        <v>265</v>
      </c>
      <c r="D118" s="2" t="s">
        <v>89</v>
      </c>
      <c r="E118" s="2" t="s">
        <v>51</v>
      </c>
      <c r="F118" s="3">
        <v>28.0</v>
      </c>
      <c r="G118" s="3">
        <v>16.0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58.0</v>
      </c>
      <c r="N118" s="3">
        <v>555.0</v>
      </c>
      <c r="O118" s="3">
        <v>4.0</v>
      </c>
      <c r="P118" s="3">
        <v>0.0</v>
      </c>
      <c r="Q118" s="3">
        <v>1.0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4">
        <f t="shared" si="1"/>
        <v>139.5</v>
      </c>
      <c r="Y118" s="4">
        <f t="shared" si="2"/>
        <v>8.71875</v>
      </c>
    </row>
    <row r="119">
      <c r="A119" s="1" t="s">
        <v>266</v>
      </c>
      <c r="B119" s="1" t="s">
        <v>267</v>
      </c>
      <c r="C119" s="1" t="s">
        <v>139</v>
      </c>
      <c r="D119" s="2" t="s">
        <v>207</v>
      </c>
      <c r="E119" s="2" t="s">
        <v>112</v>
      </c>
      <c r="F119" s="3">
        <v>35.0</v>
      </c>
      <c r="G119" s="3">
        <v>17.0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0.0</v>
      </c>
      <c r="R119" s="3">
        <v>32.0</v>
      </c>
      <c r="S119" s="3">
        <v>11.0</v>
      </c>
      <c r="T119" s="3">
        <v>10.0</v>
      </c>
      <c r="U119" s="3">
        <v>8.0</v>
      </c>
      <c r="V119" s="3">
        <v>0.0</v>
      </c>
      <c r="W119" s="3">
        <v>3.0</v>
      </c>
      <c r="X119" s="4">
        <f t="shared" si="1"/>
        <v>142</v>
      </c>
      <c r="Y119" s="4">
        <f t="shared" si="2"/>
        <v>8.352941176</v>
      </c>
    </row>
    <row r="120">
      <c r="A120" s="1" t="s">
        <v>268</v>
      </c>
      <c r="B120" s="1" t="s">
        <v>269</v>
      </c>
      <c r="C120" s="1" t="s">
        <v>270</v>
      </c>
      <c r="D120" s="2" t="s">
        <v>32</v>
      </c>
      <c r="E120" s="2" t="s">
        <v>28</v>
      </c>
      <c r="F120" s="3">
        <v>24.0</v>
      </c>
      <c r="G120" s="3">
        <v>16.0</v>
      </c>
      <c r="H120" s="3">
        <v>0.0</v>
      </c>
      <c r="I120" s="3">
        <v>0.0</v>
      </c>
      <c r="J120" s="3">
        <v>0.0</v>
      </c>
      <c r="K120" s="3">
        <v>44.0</v>
      </c>
      <c r="L120" s="3">
        <v>0.0</v>
      </c>
      <c r="M120" s="3">
        <v>52.0</v>
      </c>
      <c r="N120" s="3">
        <v>467.0</v>
      </c>
      <c r="O120" s="3">
        <v>2.0</v>
      </c>
      <c r="P120" s="3">
        <v>1.0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  <c r="X120" s="4">
        <f t="shared" si="1"/>
        <v>113.1</v>
      </c>
      <c r="Y120" s="4">
        <f t="shared" si="2"/>
        <v>7.06875</v>
      </c>
    </row>
    <row r="121">
      <c r="A121" s="1" t="s">
        <v>271</v>
      </c>
      <c r="B121" s="2" t="s">
        <v>38</v>
      </c>
      <c r="C121" s="1" t="s">
        <v>272</v>
      </c>
      <c r="D121" s="2" t="s">
        <v>50</v>
      </c>
      <c r="E121" s="2" t="s">
        <v>51</v>
      </c>
      <c r="F121" s="3">
        <v>22.0</v>
      </c>
      <c r="G121" s="3">
        <v>10.0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33.0</v>
      </c>
      <c r="N121" s="3">
        <v>411.0</v>
      </c>
      <c r="O121" s="3">
        <v>2.0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4">
        <f t="shared" si="1"/>
        <v>86.1</v>
      </c>
      <c r="Y121" s="4">
        <f t="shared" si="2"/>
        <v>8.61</v>
      </c>
    </row>
    <row r="122">
      <c r="A122" s="1" t="s">
        <v>273</v>
      </c>
      <c r="B122" s="1" t="s">
        <v>274</v>
      </c>
      <c r="C122" s="1" t="s">
        <v>238</v>
      </c>
      <c r="D122" s="2" t="s">
        <v>43</v>
      </c>
      <c r="E122" s="2" t="s">
        <v>112</v>
      </c>
      <c r="F122" s="3">
        <v>28.0</v>
      </c>
      <c r="G122" s="3">
        <v>17.0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40.0</v>
      </c>
      <c r="S122" s="3">
        <v>15.0</v>
      </c>
      <c r="T122" s="3">
        <v>7.0</v>
      </c>
      <c r="U122" s="3">
        <v>3.0</v>
      </c>
      <c r="V122" s="3">
        <v>1.0</v>
      </c>
      <c r="W122" s="3">
        <v>7.0</v>
      </c>
      <c r="X122" s="4">
        <f t="shared" si="1"/>
        <v>127</v>
      </c>
      <c r="Y122" s="4">
        <f t="shared" si="2"/>
        <v>7.470588235</v>
      </c>
    </row>
    <row r="123">
      <c r="A123" s="1" t="s">
        <v>275</v>
      </c>
      <c r="B123" s="1" t="s">
        <v>72</v>
      </c>
      <c r="C123" s="1" t="s">
        <v>276</v>
      </c>
      <c r="D123" s="2" t="s">
        <v>116</v>
      </c>
      <c r="E123" s="2" t="s">
        <v>112</v>
      </c>
      <c r="F123" s="3">
        <v>34.0</v>
      </c>
      <c r="G123" s="3">
        <v>17.0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28.0</v>
      </c>
      <c r="S123" s="3">
        <v>15.0</v>
      </c>
      <c r="T123" s="3">
        <v>9.0</v>
      </c>
      <c r="U123" s="3">
        <v>5.0</v>
      </c>
      <c r="V123" s="3">
        <v>1.0</v>
      </c>
      <c r="W123" s="3">
        <v>7.0</v>
      </c>
      <c r="X123" s="4">
        <f t="shared" si="1"/>
        <v>133</v>
      </c>
      <c r="Y123" s="4">
        <f t="shared" si="2"/>
        <v>7.823529412</v>
      </c>
    </row>
    <row r="124">
      <c r="A124" s="1" t="s">
        <v>277</v>
      </c>
      <c r="B124" s="2" t="s">
        <v>278</v>
      </c>
      <c r="C124" s="1" t="s">
        <v>279</v>
      </c>
      <c r="D124" s="2" t="s">
        <v>230</v>
      </c>
      <c r="E124" s="2" t="s">
        <v>36</v>
      </c>
      <c r="F124" s="3">
        <v>27.0</v>
      </c>
      <c r="G124" s="3">
        <v>9.0</v>
      </c>
      <c r="H124" s="3">
        <v>0.0</v>
      </c>
      <c r="I124" s="3">
        <v>0.0</v>
      </c>
      <c r="J124" s="3">
        <v>0.0</v>
      </c>
      <c r="K124" s="3">
        <v>433.0</v>
      </c>
      <c r="L124" s="3">
        <v>3.0</v>
      </c>
      <c r="M124" s="3">
        <v>0.0</v>
      </c>
      <c r="N124" s="3">
        <v>0.0</v>
      </c>
      <c r="O124" s="3">
        <v>0.0</v>
      </c>
      <c r="P124" s="3">
        <v>1.0</v>
      </c>
      <c r="Q124" s="3">
        <v>0.0</v>
      </c>
      <c r="R124" s="3">
        <v>0.0</v>
      </c>
      <c r="S124" s="3">
        <v>0.0</v>
      </c>
      <c r="T124" s="3">
        <v>0.0</v>
      </c>
      <c r="U124" s="3">
        <v>0.0</v>
      </c>
      <c r="V124" s="3">
        <v>0.0</v>
      </c>
      <c r="W124" s="3">
        <v>0.0</v>
      </c>
      <c r="X124" s="4">
        <f t="shared" si="1"/>
        <v>59.3</v>
      </c>
      <c r="Y124" s="4">
        <f t="shared" si="2"/>
        <v>6.588888889</v>
      </c>
    </row>
    <row r="125">
      <c r="A125" s="1" t="s">
        <v>280</v>
      </c>
      <c r="B125" s="1" t="s">
        <v>31</v>
      </c>
      <c r="C125" s="1" t="s">
        <v>238</v>
      </c>
      <c r="D125" s="2" t="s">
        <v>70</v>
      </c>
      <c r="E125" s="2" t="s">
        <v>51</v>
      </c>
      <c r="F125" s="3">
        <v>24.0</v>
      </c>
      <c r="G125" s="3">
        <v>17.0</v>
      </c>
      <c r="H125" s="3">
        <v>0.0</v>
      </c>
      <c r="I125" s="3">
        <v>0.0</v>
      </c>
      <c r="J125" s="3">
        <v>0.0</v>
      </c>
      <c r="K125" s="3">
        <v>8.0</v>
      </c>
      <c r="L125" s="3">
        <v>0.0</v>
      </c>
      <c r="M125" s="3">
        <v>31.0</v>
      </c>
      <c r="N125" s="3">
        <v>239.0</v>
      </c>
      <c r="O125" s="3">
        <v>1.0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  <c r="X125" s="4">
        <f t="shared" si="1"/>
        <v>61.7</v>
      </c>
      <c r="Y125" s="4">
        <f t="shared" si="2"/>
        <v>3.629411765</v>
      </c>
    </row>
    <row r="126">
      <c r="A126" s="1" t="s">
        <v>281</v>
      </c>
      <c r="B126" s="1" t="s">
        <v>31</v>
      </c>
      <c r="C126" s="1" t="s">
        <v>216</v>
      </c>
      <c r="D126" s="2" t="s">
        <v>172</v>
      </c>
      <c r="E126" s="2" t="s">
        <v>112</v>
      </c>
      <c r="F126" s="3">
        <v>27.0</v>
      </c>
      <c r="G126" s="3">
        <v>13.0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38.0</v>
      </c>
      <c r="S126" s="3">
        <v>11.0</v>
      </c>
      <c r="T126" s="3">
        <v>4.0</v>
      </c>
      <c r="U126" s="3">
        <v>2.0</v>
      </c>
      <c r="V126" s="3">
        <v>1.0</v>
      </c>
      <c r="W126" s="3">
        <v>6.0</v>
      </c>
      <c r="X126" s="4">
        <f t="shared" si="1"/>
        <v>97</v>
      </c>
      <c r="Y126" s="4">
        <f t="shared" si="2"/>
        <v>7.461538462</v>
      </c>
    </row>
    <row r="127">
      <c r="A127" s="1" t="s">
        <v>282</v>
      </c>
      <c r="B127" s="1" t="s">
        <v>68</v>
      </c>
      <c r="C127" s="1" t="s">
        <v>30</v>
      </c>
      <c r="D127" s="2" t="s">
        <v>253</v>
      </c>
      <c r="E127" s="2" t="s">
        <v>51</v>
      </c>
      <c r="F127" s="3">
        <v>29.0</v>
      </c>
      <c r="G127" s="3">
        <v>13.0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3">
        <v>52.0</v>
      </c>
      <c r="N127" s="3">
        <v>414.0</v>
      </c>
      <c r="O127" s="3">
        <v>2.0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</v>
      </c>
      <c r="V127" s="3">
        <v>0.0</v>
      </c>
      <c r="W127" s="3">
        <v>0.0</v>
      </c>
      <c r="X127" s="4">
        <f t="shared" si="1"/>
        <v>105.4</v>
      </c>
      <c r="Y127" s="4">
        <f t="shared" si="2"/>
        <v>8.107692308</v>
      </c>
    </row>
    <row r="128">
      <c r="A128" s="1" t="s">
        <v>283</v>
      </c>
      <c r="B128" s="1" t="s">
        <v>284</v>
      </c>
      <c r="C128" s="1" t="s">
        <v>284</v>
      </c>
      <c r="D128" s="2" t="s">
        <v>203</v>
      </c>
      <c r="E128" s="2" t="s">
        <v>51</v>
      </c>
      <c r="F128" s="3">
        <v>27.0</v>
      </c>
      <c r="G128" s="3">
        <v>17.0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41.0</v>
      </c>
      <c r="N128" s="3">
        <v>509.0</v>
      </c>
      <c r="O128" s="3">
        <v>2.0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0.0</v>
      </c>
      <c r="W128" s="3">
        <v>0.0</v>
      </c>
      <c r="X128" s="4">
        <f t="shared" si="1"/>
        <v>103.9</v>
      </c>
      <c r="Y128" s="4">
        <f t="shared" si="2"/>
        <v>6.111764706</v>
      </c>
    </row>
    <row r="129">
      <c r="A129" s="1" t="s">
        <v>285</v>
      </c>
      <c r="B129" s="1" t="s">
        <v>30</v>
      </c>
      <c r="C129" s="1" t="s">
        <v>227</v>
      </c>
      <c r="D129" s="2" t="s">
        <v>73</v>
      </c>
      <c r="E129" s="2" t="s">
        <v>28</v>
      </c>
      <c r="F129" s="3">
        <v>26.0</v>
      </c>
      <c r="G129" s="3">
        <v>10.0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36.0</v>
      </c>
      <c r="N129" s="3">
        <v>330.0</v>
      </c>
      <c r="O129" s="3">
        <v>2.0</v>
      </c>
      <c r="P129" s="3">
        <v>3.0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  <c r="W129" s="3">
        <v>0.0</v>
      </c>
      <c r="X129" s="4">
        <f t="shared" si="1"/>
        <v>75</v>
      </c>
      <c r="Y129" s="4">
        <f t="shared" si="2"/>
        <v>7.5</v>
      </c>
    </row>
    <row r="130">
      <c r="A130" s="1" t="s">
        <v>286</v>
      </c>
      <c r="B130" s="1" t="s">
        <v>100</v>
      </c>
      <c r="C130" s="1" t="s">
        <v>69</v>
      </c>
      <c r="D130" s="2" t="s">
        <v>43</v>
      </c>
      <c r="E130" s="2" t="s">
        <v>51</v>
      </c>
      <c r="F130" s="3">
        <v>24.0</v>
      </c>
      <c r="G130" s="3">
        <v>8.0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25.0</v>
      </c>
      <c r="N130" s="3">
        <v>182.0</v>
      </c>
      <c r="O130" s="3">
        <v>2.0</v>
      </c>
      <c r="P130" s="3">
        <v>1.0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4">
        <f t="shared" si="1"/>
        <v>53.2</v>
      </c>
      <c r="Y130" s="4">
        <f t="shared" si="2"/>
        <v>6.65</v>
      </c>
    </row>
    <row r="131">
      <c r="A131" s="1" t="s">
        <v>287</v>
      </c>
      <c r="B131" s="1" t="s">
        <v>288</v>
      </c>
      <c r="C131" s="1" t="s">
        <v>289</v>
      </c>
      <c r="D131" s="2" t="s">
        <v>230</v>
      </c>
      <c r="E131" s="2" t="s">
        <v>51</v>
      </c>
      <c r="F131" s="3">
        <v>22.0</v>
      </c>
      <c r="G131" s="3">
        <v>16.0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36.0</v>
      </c>
      <c r="N131" s="3">
        <v>373.0</v>
      </c>
      <c r="O131" s="3">
        <v>3.0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  <c r="W131" s="3">
        <v>0.0</v>
      </c>
      <c r="X131" s="4">
        <f t="shared" si="1"/>
        <v>91.3</v>
      </c>
      <c r="Y131" s="4">
        <f t="shared" si="2"/>
        <v>5.70625</v>
      </c>
    </row>
    <row r="132">
      <c r="A132" s="1" t="s">
        <v>290</v>
      </c>
      <c r="B132" s="1" t="s">
        <v>68</v>
      </c>
      <c r="C132" s="1" t="s">
        <v>31</v>
      </c>
      <c r="D132" s="2" t="s">
        <v>223</v>
      </c>
      <c r="E132" s="2" t="s">
        <v>28</v>
      </c>
      <c r="F132" s="3">
        <v>27.0</v>
      </c>
      <c r="G132" s="3">
        <v>15.0</v>
      </c>
      <c r="H132" s="3">
        <v>0.0</v>
      </c>
      <c r="I132" s="3">
        <v>0.0</v>
      </c>
      <c r="J132" s="3">
        <v>0.0</v>
      </c>
      <c r="K132" s="3">
        <v>55.0</v>
      </c>
      <c r="L132" s="3">
        <v>1.0</v>
      </c>
      <c r="M132" s="3">
        <v>42.0</v>
      </c>
      <c r="N132" s="3">
        <v>423.0</v>
      </c>
      <c r="O132" s="3">
        <v>4.0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  <c r="W132" s="3">
        <v>0.0</v>
      </c>
      <c r="X132" s="4">
        <f t="shared" si="1"/>
        <v>119.8</v>
      </c>
      <c r="Y132" s="4">
        <f t="shared" si="2"/>
        <v>7.986666667</v>
      </c>
    </row>
    <row r="133">
      <c r="A133" s="1" t="s">
        <v>291</v>
      </c>
      <c r="B133" s="2" t="s">
        <v>155</v>
      </c>
      <c r="C133" s="1" t="s">
        <v>279</v>
      </c>
      <c r="D133" s="2" t="s">
        <v>172</v>
      </c>
      <c r="E133" s="2" t="s">
        <v>36</v>
      </c>
      <c r="F133" s="3">
        <v>23.0</v>
      </c>
      <c r="G133" s="3">
        <v>17.0</v>
      </c>
      <c r="H133" s="3">
        <v>0.0</v>
      </c>
      <c r="I133" s="3">
        <v>0.0</v>
      </c>
      <c r="J133" s="3">
        <v>0.0</v>
      </c>
      <c r="K133" s="3">
        <v>830.0</v>
      </c>
      <c r="L133" s="3">
        <v>5.0</v>
      </c>
      <c r="M133" s="3">
        <v>13.0</v>
      </c>
      <c r="N133" s="3">
        <v>130.0</v>
      </c>
      <c r="O133" s="3">
        <v>0.0</v>
      </c>
      <c r="P133" s="3">
        <v>4.0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  <c r="W133" s="3">
        <v>0.0</v>
      </c>
      <c r="X133" s="4">
        <f t="shared" si="1"/>
        <v>131</v>
      </c>
      <c r="Y133" s="4">
        <f t="shared" si="2"/>
        <v>7.705882353</v>
      </c>
    </row>
    <row r="134">
      <c r="A134" s="1" t="s">
        <v>292</v>
      </c>
      <c r="B134" s="1" t="s">
        <v>69</v>
      </c>
      <c r="C134" s="1" t="s">
        <v>293</v>
      </c>
      <c r="D134" s="2" t="s">
        <v>83</v>
      </c>
      <c r="E134" s="2" t="s">
        <v>36</v>
      </c>
      <c r="F134" s="3">
        <v>29.0</v>
      </c>
      <c r="G134" s="3">
        <v>8.0</v>
      </c>
      <c r="H134" s="3">
        <v>0.0</v>
      </c>
      <c r="I134" s="3">
        <v>0.0</v>
      </c>
      <c r="J134" s="3">
        <v>0.0</v>
      </c>
      <c r="K134" s="3">
        <v>95.0</v>
      </c>
      <c r="L134" s="3">
        <v>0.0</v>
      </c>
      <c r="M134" s="3">
        <v>27.0</v>
      </c>
      <c r="N134" s="3">
        <v>173.0</v>
      </c>
      <c r="O134" s="3">
        <v>0.0</v>
      </c>
      <c r="P134" s="3">
        <v>0.0</v>
      </c>
      <c r="Q134" s="3">
        <v>1.0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4">
        <f t="shared" si="1"/>
        <v>55.8</v>
      </c>
      <c r="Y134" s="4">
        <f t="shared" si="2"/>
        <v>6.975</v>
      </c>
    </row>
    <row r="135">
      <c r="A135" s="1" t="s">
        <v>294</v>
      </c>
      <c r="B135" s="1" t="s">
        <v>79</v>
      </c>
      <c r="C135" s="1" t="s">
        <v>161</v>
      </c>
      <c r="D135" s="2" t="s">
        <v>230</v>
      </c>
      <c r="E135" s="2" t="s">
        <v>36</v>
      </c>
      <c r="F135" s="3">
        <v>23.0</v>
      </c>
      <c r="G135" s="3">
        <v>8.0</v>
      </c>
      <c r="H135" s="3">
        <v>0.0</v>
      </c>
      <c r="I135" s="3">
        <v>0.0</v>
      </c>
      <c r="J135" s="3">
        <v>0.0</v>
      </c>
      <c r="K135" s="3">
        <v>520.0</v>
      </c>
      <c r="L135" s="3">
        <v>2.0</v>
      </c>
      <c r="M135" s="3">
        <v>7.0</v>
      </c>
      <c r="N135" s="3">
        <v>42.0</v>
      </c>
      <c r="O135" s="3">
        <v>1.0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4">
        <f t="shared" si="1"/>
        <v>81.2</v>
      </c>
      <c r="Y135" s="4">
        <f t="shared" si="2"/>
        <v>10.15</v>
      </c>
    </row>
    <row r="136">
      <c r="A136" s="1" t="s">
        <v>295</v>
      </c>
      <c r="B136" s="1" t="s">
        <v>100</v>
      </c>
      <c r="C136" s="1" t="s">
        <v>131</v>
      </c>
      <c r="D136" s="2" t="s">
        <v>253</v>
      </c>
      <c r="E136" s="2" t="s">
        <v>28</v>
      </c>
      <c r="F136" s="3">
        <v>22.0</v>
      </c>
      <c r="G136" s="3">
        <v>12.0</v>
      </c>
      <c r="H136" s="3">
        <v>0.0</v>
      </c>
      <c r="I136" s="3">
        <v>0.0</v>
      </c>
      <c r="J136" s="3">
        <v>0.0</v>
      </c>
      <c r="K136" s="3">
        <v>8.0</v>
      </c>
      <c r="L136" s="3">
        <v>0.0</v>
      </c>
      <c r="M136" s="3">
        <v>87.0</v>
      </c>
      <c r="N136" s="3">
        <v>1046.0</v>
      </c>
      <c r="O136" s="3">
        <v>9.0</v>
      </c>
      <c r="P136" s="3">
        <v>2.0</v>
      </c>
      <c r="Q136" s="3">
        <v>0.0</v>
      </c>
      <c r="R136" s="3">
        <v>0.0</v>
      </c>
      <c r="S136" s="3">
        <v>0.0</v>
      </c>
      <c r="T136" s="3">
        <v>0.0</v>
      </c>
      <c r="U136" s="3">
        <v>0.0</v>
      </c>
      <c r="V136" s="3">
        <v>0.0</v>
      </c>
      <c r="W136" s="3">
        <v>0.0</v>
      </c>
      <c r="X136" s="4">
        <f t="shared" si="1"/>
        <v>242.4</v>
      </c>
      <c r="Y136" s="4">
        <f t="shared" si="2"/>
        <v>20.2</v>
      </c>
    </row>
    <row r="137">
      <c r="A137" s="1" t="s">
        <v>296</v>
      </c>
      <c r="B137" s="1" t="s">
        <v>68</v>
      </c>
      <c r="C137" s="1" t="s">
        <v>297</v>
      </c>
      <c r="D137" s="2" t="s">
        <v>70</v>
      </c>
      <c r="E137" s="2" t="s">
        <v>39</v>
      </c>
      <c r="F137" s="3">
        <v>29.0</v>
      </c>
      <c r="G137" s="3">
        <v>16.0</v>
      </c>
      <c r="H137" s="3">
        <v>2608.0</v>
      </c>
      <c r="I137" s="3">
        <v>12.0</v>
      </c>
      <c r="J137" s="3">
        <v>6.0</v>
      </c>
      <c r="K137" s="3">
        <v>243.0</v>
      </c>
      <c r="L137" s="3">
        <v>2.0</v>
      </c>
      <c r="M137" s="3">
        <v>0.0</v>
      </c>
      <c r="N137" s="3">
        <v>0.0</v>
      </c>
      <c r="O137" s="3">
        <v>0.0</v>
      </c>
      <c r="P137" s="3">
        <v>6.0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4">
        <f t="shared" si="1"/>
        <v>164.62</v>
      </c>
      <c r="Y137" s="4">
        <f t="shared" si="2"/>
        <v>10.28875</v>
      </c>
    </row>
    <row r="138">
      <c r="A138" s="1" t="s">
        <v>298</v>
      </c>
      <c r="B138" s="1" t="s">
        <v>155</v>
      </c>
      <c r="C138" s="1" t="s">
        <v>62</v>
      </c>
      <c r="D138" s="2" t="s">
        <v>83</v>
      </c>
      <c r="E138" s="2" t="s">
        <v>28</v>
      </c>
      <c r="F138" s="3">
        <v>22.0</v>
      </c>
      <c r="G138" s="3">
        <v>12.0</v>
      </c>
      <c r="H138" s="3">
        <v>0.0</v>
      </c>
      <c r="I138" s="3">
        <v>0.0</v>
      </c>
      <c r="J138" s="3">
        <v>0.0</v>
      </c>
      <c r="K138" s="3">
        <v>-7.0</v>
      </c>
      <c r="L138" s="3">
        <v>0.0</v>
      </c>
      <c r="M138" s="3">
        <v>35.0</v>
      </c>
      <c r="N138" s="3">
        <v>523.0</v>
      </c>
      <c r="O138" s="3">
        <v>7.0</v>
      </c>
      <c r="P138" s="3">
        <v>0.0</v>
      </c>
      <c r="Q138" s="3">
        <v>1.0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0.0</v>
      </c>
      <c r="X138" s="4">
        <f t="shared" si="1"/>
        <v>130.6</v>
      </c>
      <c r="Y138" s="4">
        <f t="shared" si="2"/>
        <v>10.88333333</v>
      </c>
    </row>
    <row r="139">
      <c r="A139" s="1" t="s">
        <v>299</v>
      </c>
      <c r="B139" s="1" t="s">
        <v>48</v>
      </c>
      <c r="C139" s="1" t="s">
        <v>82</v>
      </c>
      <c r="D139" s="2" t="s">
        <v>27</v>
      </c>
      <c r="E139" s="2" t="s">
        <v>112</v>
      </c>
      <c r="F139" s="3">
        <v>27.0</v>
      </c>
      <c r="G139" s="3">
        <v>16.0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0.0</v>
      </c>
      <c r="R139" s="3">
        <v>51.0</v>
      </c>
      <c r="S139" s="3">
        <v>14.0</v>
      </c>
      <c r="T139" s="3">
        <v>1.0</v>
      </c>
      <c r="U139" s="3">
        <v>5.0</v>
      </c>
      <c r="V139" s="3">
        <v>0.0</v>
      </c>
      <c r="W139" s="3">
        <v>3.0</v>
      </c>
      <c r="X139" s="4">
        <f t="shared" si="1"/>
        <v>119</v>
      </c>
      <c r="Y139" s="4">
        <f t="shared" si="2"/>
        <v>7.4375</v>
      </c>
    </row>
    <row r="140">
      <c r="A140" s="1" t="s">
        <v>300</v>
      </c>
      <c r="B140" s="2" t="s">
        <v>195</v>
      </c>
      <c r="C140" s="1" t="s">
        <v>262</v>
      </c>
      <c r="D140" s="2" t="s">
        <v>118</v>
      </c>
      <c r="E140" s="2" t="s">
        <v>51</v>
      </c>
      <c r="F140" s="3">
        <v>23.0</v>
      </c>
      <c r="G140" s="3">
        <v>16.0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19.0</v>
      </c>
      <c r="N140" s="3">
        <v>174.0</v>
      </c>
      <c r="O140" s="3">
        <v>2.0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0.0</v>
      </c>
      <c r="W140" s="3">
        <v>0.0</v>
      </c>
      <c r="X140" s="4">
        <f t="shared" si="1"/>
        <v>48.4</v>
      </c>
      <c r="Y140" s="4">
        <f t="shared" si="2"/>
        <v>3.025</v>
      </c>
    </row>
    <row r="141">
      <c r="A141" s="1" t="s">
        <v>301</v>
      </c>
      <c r="B141" s="1" t="s">
        <v>31</v>
      </c>
      <c r="C141" s="1" t="s">
        <v>297</v>
      </c>
      <c r="D141" s="2" t="s">
        <v>203</v>
      </c>
      <c r="E141" s="2" t="s">
        <v>28</v>
      </c>
      <c r="F141" s="3">
        <v>25.0</v>
      </c>
      <c r="G141" s="3">
        <v>14.0</v>
      </c>
      <c r="H141" s="3">
        <v>0.0</v>
      </c>
      <c r="I141" s="3">
        <v>0.0</v>
      </c>
      <c r="J141" s="3">
        <v>0.0</v>
      </c>
      <c r="K141" s="3">
        <v>-11.0</v>
      </c>
      <c r="L141" s="3">
        <v>0.0</v>
      </c>
      <c r="M141" s="3">
        <v>67.0</v>
      </c>
      <c r="N141" s="3">
        <v>804.0</v>
      </c>
      <c r="O141" s="3">
        <v>6.0</v>
      </c>
      <c r="P141" s="3">
        <v>2.0</v>
      </c>
      <c r="Q141" s="3">
        <v>1.0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  <c r="W141" s="3">
        <v>0.0</v>
      </c>
      <c r="X141" s="4">
        <f t="shared" si="1"/>
        <v>180.3</v>
      </c>
      <c r="Y141" s="4">
        <f t="shared" si="2"/>
        <v>12.87857143</v>
      </c>
    </row>
    <row r="142">
      <c r="A142" s="1" t="s">
        <v>302</v>
      </c>
      <c r="B142" s="1" t="s">
        <v>79</v>
      </c>
      <c r="C142" s="1" t="s">
        <v>94</v>
      </c>
      <c r="D142" s="2" t="s">
        <v>27</v>
      </c>
      <c r="E142" s="2" t="s">
        <v>39</v>
      </c>
      <c r="F142" s="3">
        <v>24.0</v>
      </c>
      <c r="G142" s="3">
        <v>15.0</v>
      </c>
      <c r="H142" s="3">
        <v>3701.0</v>
      </c>
      <c r="I142" s="3">
        <v>22.0</v>
      </c>
      <c r="J142" s="3">
        <v>6.0</v>
      </c>
      <c r="K142" s="3">
        <v>760.0</v>
      </c>
      <c r="L142" s="3">
        <v>13.0</v>
      </c>
      <c r="M142" s="3">
        <v>0.0</v>
      </c>
      <c r="N142" s="3">
        <v>0.0</v>
      </c>
      <c r="O142" s="3">
        <v>0.0</v>
      </c>
      <c r="P142" s="3">
        <v>9.0</v>
      </c>
      <c r="Q142" s="3">
        <v>2.0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  <c r="W142" s="3">
        <v>0.0</v>
      </c>
      <c r="X142" s="4">
        <f t="shared" si="1"/>
        <v>364.04</v>
      </c>
      <c r="Y142" s="4">
        <f t="shared" si="2"/>
        <v>24.26933333</v>
      </c>
    </row>
    <row r="143">
      <c r="A143" s="1" t="s">
        <v>303</v>
      </c>
      <c r="B143" s="1" t="s">
        <v>38</v>
      </c>
      <c r="C143" s="1" t="s">
        <v>304</v>
      </c>
      <c r="D143" s="2" t="s">
        <v>77</v>
      </c>
      <c r="E143" s="2" t="s">
        <v>36</v>
      </c>
      <c r="F143" s="3">
        <v>27.0</v>
      </c>
      <c r="G143" s="3">
        <v>17.0</v>
      </c>
      <c r="H143" s="3">
        <v>0.0</v>
      </c>
      <c r="I143" s="3">
        <v>0.0</v>
      </c>
      <c r="J143" s="3">
        <v>0.0</v>
      </c>
      <c r="K143" s="3">
        <v>1066.0</v>
      </c>
      <c r="L143" s="3">
        <v>17.0</v>
      </c>
      <c r="M143" s="3">
        <v>12.0</v>
      </c>
      <c r="N143" s="3">
        <v>73.0</v>
      </c>
      <c r="O143" s="3">
        <v>0.0</v>
      </c>
      <c r="P143" s="3">
        <v>3.0</v>
      </c>
      <c r="Q143" s="3">
        <v>1.0</v>
      </c>
      <c r="R143" s="3">
        <v>0.0</v>
      </c>
      <c r="S143" s="3">
        <v>0.0</v>
      </c>
      <c r="T143" s="3">
        <v>0.0</v>
      </c>
      <c r="U143" s="3">
        <v>0.0</v>
      </c>
      <c r="V143" s="3">
        <v>0.0</v>
      </c>
      <c r="W143" s="3">
        <v>0.0</v>
      </c>
      <c r="X143" s="4">
        <f t="shared" si="1"/>
        <v>223.9</v>
      </c>
      <c r="Y143" s="4">
        <f t="shared" si="2"/>
        <v>13.17058824</v>
      </c>
    </row>
    <row r="144">
      <c r="A144" s="1" t="s">
        <v>305</v>
      </c>
      <c r="B144" s="1" t="s">
        <v>75</v>
      </c>
      <c r="C144" s="1" t="s">
        <v>306</v>
      </c>
      <c r="D144" s="2" t="s">
        <v>164</v>
      </c>
      <c r="E144" s="2" t="s">
        <v>28</v>
      </c>
      <c r="F144" s="3">
        <v>27.0</v>
      </c>
      <c r="G144" s="3">
        <v>15.0</v>
      </c>
      <c r="H144" s="3">
        <v>0.0</v>
      </c>
      <c r="I144" s="3">
        <v>0.0</v>
      </c>
      <c r="J144" s="3">
        <v>0.0</v>
      </c>
      <c r="K144" s="3">
        <v>86.0</v>
      </c>
      <c r="L144" s="3">
        <v>0.0</v>
      </c>
      <c r="M144" s="3">
        <v>23.0</v>
      </c>
      <c r="N144" s="3">
        <v>187.0</v>
      </c>
      <c r="O144" s="3">
        <v>3.0</v>
      </c>
      <c r="P144" s="3">
        <v>0.0</v>
      </c>
      <c r="Q144" s="3">
        <v>1.0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  <c r="W144" s="3">
        <v>0.0</v>
      </c>
      <c r="X144" s="4">
        <f t="shared" si="1"/>
        <v>70.3</v>
      </c>
      <c r="Y144" s="4">
        <f t="shared" si="2"/>
        <v>4.686666667</v>
      </c>
    </row>
    <row r="145">
      <c r="A145" s="1" t="s">
        <v>307</v>
      </c>
      <c r="B145" s="1" t="s">
        <v>110</v>
      </c>
      <c r="C145" s="1" t="s">
        <v>308</v>
      </c>
      <c r="D145" s="2" t="s">
        <v>32</v>
      </c>
      <c r="E145" s="2" t="s">
        <v>36</v>
      </c>
      <c r="F145" s="3">
        <v>27.0</v>
      </c>
      <c r="G145" s="3">
        <v>13.0</v>
      </c>
      <c r="H145" s="3">
        <v>0.0</v>
      </c>
      <c r="I145" s="3">
        <v>0.0</v>
      </c>
      <c r="J145" s="3">
        <v>0.0</v>
      </c>
      <c r="K145" s="3">
        <v>782.0</v>
      </c>
      <c r="L145" s="3">
        <v>7.0</v>
      </c>
      <c r="M145" s="3">
        <v>46.0</v>
      </c>
      <c r="N145" s="3">
        <v>300.0</v>
      </c>
      <c r="O145" s="3">
        <v>1.0</v>
      </c>
      <c r="P145" s="3">
        <v>3.0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0.0</v>
      </c>
      <c r="W145" s="3">
        <v>0.0</v>
      </c>
      <c r="X145" s="4">
        <f t="shared" si="1"/>
        <v>196.2</v>
      </c>
      <c r="Y145" s="4">
        <f t="shared" si="2"/>
        <v>15.09230769</v>
      </c>
    </row>
    <row r="146">
      <c r="A146" s="1" t="s">
        <v>309</v>
      </c>
      <c r="B146" s="2" t="s">
        <v>68</v>
      </c>
      <c r="C146" s="1" t="s">
        <v>31</v>
      </c>
      <c r="D146" s="2" t="s">
        <v>223</v>
      </c>
      <c r="E146" s="2" t="s">
        <v>36</v>
      </c>
      <c r="F146" s="3">
        <v>22.0</v>
      </c>
      <c r="G146" s="3">
        <v>16.0</v>
      </c>
      <c r="H146" s="3">
        <v>0.0</v>
      </c>
      <c r="I146" s="3">
        <v>0.0</v>
      </c>
      <c r="J146" s="3">
        <v>0.0</v>
      </c>
      <c r="K146" s="3">
        <v>507.0</v>
      </c>
      <c r="L146" s="3">
        <v>2.0</v>
      </c>
      <c r="M146" s="3">
        <v>21.0</v>
      </c>
      <c r="N146" s="3">
        <v>180.0</v>
      </c>
      <c r="O146" s="3">
        <v>1.0</v>
      </c>
      <c r="P146" s="3">
        <v>1.0</v>
      </c>
      <c r="Q146" s="3">
        <v>0.0</v>
      </c>
      <c r="R146" s="3">
        <v>0.0</v>
      </c>
      <c r="S146" s="3">
        <v>0.0</v>
      </c>
      <c r="T146" s="3">
        <v>0.0</v>
      </c>
      <c r="U146" s="3">
        <v>0.0</v>
      </c>
      <c r="V146" s="3">
        <v>0.0</v>
      </c>
      <c r="W146" s="3">
        <v>0.0</v>
      </c>
      <c r="X146" s="4">
        <f t="shared" si="1"/>
        <v>105.7</v>
      </c>
      <c r="Y146" s="4">
        <f t="shared" si="2"/>
        <v>6.60625</v>
      </c>
    </row>
    <row r="147">
      <c r="A147" s="1" t="s">
        <v>310</v>
      </c>
      <c r="B147" s="1" t="s">
        <v>48</v>
      </c>
      <c r="C147" s="1" t="s">
        <v>311</v>
      </c>
      <c r="D147" s="2" t="s">
        <v>164</v>
      </c>
      <c r="E147" s="2" t="s">
        <v>36</v>
      </c>
      <c r="F147" s="3">
        <v>24.0</v>
      </c>
      <c r="G147" s="3">
        <v>11.0</v>
      </c>
      <c r="H147" s="3">
        <v>0.0</v>
      </c>
      <c r="I147" s="3">
        <v>0.0</v>
      </c>
      <c r="J147" s="3">
        <v>0.0</v>
      </c>
      <c r="K147" s="3">
        <v>425.0</v>
      </c>
      <c r="L147" s="3">
        <v>3.0</v>
      </c>
      <c r="M147" s="3">
        <v>11.0</v>
      </c>
      <c r="N147" s="3">
        <v>51.0</v>
      </c>
      <c r="O147" s="3">
        <v>2.0</v>
      </c>
      <c r="P147" s="3">
        <v>1.0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4">
        <f t="shared" si="1"/>
        <v>86.6</v>
      </c>
      <c r="Y147" s="4">
        <f t="shared" si="2"/>
        <v>7.872727273</v>
      </c>
    </row>
    <row r="148">
      <c r="A148" s="1" t="s">
        <v>312</v>
      </c>
      <c r="B148" s="1" t="s">
        <v>79</v>
      </c>
      <c r="C148" s="1" t="s">
        <v>313</v>
      </c>
      <c r="D148" s="2" t="s">
        <v>164</v>
      </c>
      <c r="E148" s="2" t="s">
        <v>36</v>
      </c>
      <c r="F148" s="3">
        <v>25.0</v>
      </c>
      <c r="G148" s="3">
        <v>17.0</v>
      </c>
      <c r="H148" s="3">
        <v>0.0</v>
      </c>
      <c r="I148" s="3">
        <v>0.0</v>
      </c>
      <c r="J148" s="3">
        <v>0.0</v>
      </c>
      <c r="K148" s="3">
        <v>194.0</v>
      </c>
      <c r="L148" s="3">
        <v>2.0</v>
      </c>
      <c r="M148" s="3">
        <v>20.0</v>
      </c>
      <c r="N148" s="3">
        <v>126.0</v>
      </c>
      <c r="O148" s="3">
        <v>1.0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  <c r="X148" s="4">
        <f t="shared" si="1"/>
        <v>70</v>
      </c>
      <c r="Y148" s="4">
        <f t="shared" si="2"/>
        <v>4.117647059</v>
      </c>
    </row>
    <row r="149">
      <c r="A149" s="1" t="s">
        <v>314</v>
      </c>
      <c r="B149" s="1" t="s">
        <v>38</v>
      </c>
      <c r="C149" s="1" t="s">
        <v>38</v>
      </c>
      <c r="D149" s="2" t="s">
        <v>77</v>
      </c>
      <c r="E149" s="2" t="s">
        <v>39</v>
      </c>
      <c r="F149" s="3">
        <v>27.0</v>
      </c>
      <c r="G149" s="3">
        <v>17.0</v>
      </c>
      <c r="H149" s="3">
        <v>4438.0</v>
      </c>
      <c r="I149" s="3">
        <v>29.0</v>
      </c>
      <c r="J149" s="3">
        <v>7.0</v>
      </c>
      <c r="K149" s="3">
        <v>73.0</v>
      </c>
      <c r="L149" s="3">
        <v>0.0</v>
      </c>
      <c r="M149" s="3">
        <v>1.0</v>
      </c>
      <c r="N149" s="3">
        <v>5.0</v>
      </c>
      <c r="O149" s="3">
        <v>0.0</v>
      </c>
      <c r="P149" s="3">
        <v>7.0</v>
      </c>
      <c r="Q149" s="3">
        <v>1.0</v>
      </c>
      <c r="R149" s="3">
        <v>0.0</v>
      </c>
      <c r="S149" s="3">
        <v>0.0</v>
      </c>
      <c r="T149" s="3">
        <v>0.0</v>
      </c>
      <c r="U149" s="3">
        <v>0.0</v>
      </c>
      <c r="V149" s="3">
        <v>0.0</v>
      </c>
      <c r="W149" s="3">
        <v>0.0</v>
      </c>
      <c r="X149" s="4">
        <f t="shared" si="1"/>
        <v>276.32</v>
      </c>
      <c r="Y149" s="4">
        <f t="shared" si="2"/>
        <v>16.25411765</v>
      </c>
    </row>
    <row r="150">
      <c r="A150" s="1" t="s">
        <v>315</v>
      </c>
      <c r="B150" s="1" t="s">
        <v>100</v>
      </c>
      <c r="C150" s="1" t="s">
        <v>131</v>
      </c>
      <c r="D150" s="2" t="s">
        <v>66</v>
      </c>
      <c r="E150" s="2" t="s">
        <v>28</v>
      </c>
      <c r="F150" s="3">
        <v>29.0</v>
      </c>
      <c r="G150" s="3">
        <v>9.0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25.0</v>
      </c>
      <c r="N150" s="3">
        <v>272.0</v>
      </c>
      <c r="O150" s="3">
        <v>1.0</v>
      </c>
      <c r="P150" s="3">
        <v>1.0</v>
      </c>
      <c r="Q150" s="3">
        <v>1.0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  <c r="W150" s="3">
        <v>0.0</v>
      </c>
      <c r="X150" s="4">
        <f t="shared" si="1"/>
        <v>58.2</v>
      </c>
      <c r="Y150" s="4">
        <f t="shared" si="2"/>
        <v>6.466666667</v>
      </c>
    </row>
    <row r="151">
      <c r="A151" s="1" t="s">
        <v>316</v>
      </c>
      <c r="B151" s="1" t="s">
        <v>38</v>
      </c>
      <c r="C151" s="1" t="s">
        <v>317</v>
      </c>
      <c r="D151" s="2" t="s">
        <v>174</v>
      </c>
      <c r="E151" s="2" t="s">
        <v>112</v>
      </c>
      <c r="F151" s="3">
        <v>31.0</v>
      </c>
      <c r="G151" s="3">
        <v>17.0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41.0</v>
      </c>
      <c r="S151" s="3">
        <v>24.0</v>
      </c>
      <c r="T151" s="3">
        <v>4.0</v>
      </c>
      <c r="U151" s="3">
        <v>6.0</v>
      </c>
      <c r="V151" s="3">
        <v>0.0</v>
      </c>
      <c r="W151" s="3">
        <v>3.0</v>
      </c>
      <c r="X151" s="4">
        <f t="shared" si="1"/>
        <v>156</v>
      </c>
      <c r="Y151" s="4">
        <f t="shared" si="2"/>
        <v>9.176470588</v>
      </c>
    </row>
    <row r="152">
      <c r="A152" s="1" t="s">
        <v>318</v>
      </c>
      <c r="B152" s="1" t="s">
        <v>38</v>
      </c>
      <c r="C152" s="1" t="s">
        <v>319</v>
      </c>
      <c r="D152" s="2" t="s">
        <v>152</v>
      </c>
      <c r="E152" s="2" t="s">
        <v>112</v>
      </c>
      <c r="F152" s="3">
        <v>26.0</v>
      </c>
      <c r="G152" s="3">
        <v>17.0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41.0</v>
      </c>
      <c r="S152" s="3">
        <v>12.0</v>
      </c>
      <c r="T152" s="3">
        <v>12.0</v>
      </c>
      <c r="U152" s="3">
        <v>2.0</v>
      </c>
      <c r="V152" s="3">
        <v>0.0</v>
      </c>
      <c r="W152" s="3">
        <v>6.0</v>
      </c>
      <c r="X152" s="4">
        <f t="shared" si="1"/>
        <v>129</v>
      </c>
      <c r="Y152" s="4">
        <f t="shared" si="2"/>
        <v>7.588235294</v>
      </c>
    </row>
    <row r="153">
      <c r="A153" s="1" t="s">
        <v>320</v>
      </c>
      <c r="B153" s="2" t="s">
        <v>65</v>
      </c>
      <c r="C153" s="1" t="s">
        <v>65</v>
      </c>
      <c r="D153" s="2" t="s">
        <v>108</v>
      </c>
      <c r="E153" s="2" t="s">
        <v>28</v>
      </c>
      <c r="F153" s="3">
        <v>25.0</v>
      </c>
      <c r="G153" s="3">
        <v>16.0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35.0</v>
      </c>
      <c r="N153" s="3">
        <v>416.0</v>
      </c>
      <c r="O153" s="3">
        <v>1.0</v>
      </c>
      <c r="P153" s="3">
        <v>1.0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  <c r="W153" s="3">
        <v>0.0</v>
      </c>
      <c r="X153" s="4">
        <f t="shared" si="1"/>
        <v>80.6</v>
      </c>
      <c r="Y153" s="4">
        <f t="shared" si="2"/>
        <v>5.0375</v>
      </c>
    </row>
    <row r="154">
      <c r="A154" s="1" t="s">
        <v>321</v>
      </c>
      <c r="B154" s="1" t="s">
        <v>79</v>
      </c>
      <c r="C154" s="1" t="s">
        <v>69</v>
      </c>
      <c r="D154" s="2" t="s">
        <v>152</v>
      </c>
      <c r="E154" s="2" t="s">
        <v>28</v>
      </c>
      <c r="F154" s="3">
        <v>23.0</v>
      </c>
      <c r="G154" s="3">
        <v>17.0</v>
      </c>
      <c r="H154" s="3">
        <v>0.0</v>
      </c>
      <c r="I154" s="3">
        <v>0.0</v>
      </c>
      <c r="J154" s="3">
        <v>0.0</v>
      </c>
      <c r="K154" s="3">
        <v>26.0</v>
      </c>
      <c r="L154" s="3">
        <v>0.0</v>
      </c>
      <c r="M154" s="3">
        <v>75.0</v>
      </c>
      <c r="N154" s="3">
        <v>1356.0</v>
      </c>
      <c r="O154" s="3">
        <v>8.0</v>
      </c>
      <c r="P154" s="3">
        <v>1.0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0.0</v>
      </c>
      <c r="W154" s="3">
        <v>0.0</v>
      </c>
      <c r="X154" s="4">
        <f t="shared" si="1"/>
        <v>259.2</v>
      </c>
      <c r="Y154" s="4">
        <f t="shared" si="2"/>
        <v>15.24705882</v>
      </c>
    </row>
    <row r="155">
      <c r="A155" s="1" t="s">
        <v>322</v>
      </c>
      <c r="B155" s="2" t="s">
        <v>114</v>
      </c>
      <c r="C155" s="1" t="s">
        <v>170</v>
      </c>
      <c r="D155" s="2" t="s">
        <v>149</v>
      </c>
      <c r="E155" s="2" t="s">
        <v>36</v>
      </c>
      <c r="F155" s="3">
        <v>23.0</v>
      </c>
      <c r="G155" s="3">
        <v>16.0</v>
      </c>
      <c r="H155" s="3">
        <v>0.0</v>
      </c>
      <c r="I155" s="3">
        <v>0.0</v>
      </c>
      <c r="J155" s="3">
        <v>0.0</v>
      </c>
      <c r="K155" s="3">
        <v>379.0</v>
      </c>
      <c r="L155" s="3">
        <v>1.0</v>
      </c>
      <c r="M155" s="3">
        <v>28.0</v>
      </c>
      <c r="N155" s="3">
        <v>214.0</v>
      </c>
      <c r="O155" s="3">
        <v>0.0</v>
      </c>
      <c r="P155" s="3">
        <v>1.0</v>
      </c>
      <c r="Q155" s="3">
        <v>0.0</v>
      </c>
      <c r="R155" s="3">
        <v>0.0</v>
      </c>
      <c r="S155" s="3">
        <v>0.0</v>
      </c>
      <c r="T155" s="3">
        <v>0.0</v>
      </c>
      <c r="U155" s="3">
        <v>0.0</v>
      </c>
      <c r="V155" s="3">
        <v>0.0</v>
      </c>
      <c r="W155" s="3">
        <v>0.0</v>
      </c>
      <c r="X155" s="4">
        <f t="shared" si="1"/>
        <v>91.3</v>
      </c>
      <c r="Y155" s="4">
        <f t="shared" si="2"/>
        <v>5.70625</v>
      </c>
    </row>
    <row r="156">
      <c r="A156" s="1" t="s">
        <v>323</v>
      </c>
      <c r="B156" s="1" t="s">
        <v>79</v>
      </c>
      <c r="C156" s="1" t="s">
        <v>324</v>
      </c>
      <c r="D156" s="2" t="s">
        <v>152</v>
      </c>
      <c r="E156" s="2" t="s">
        <v>36</v>
      </c>
      <c r="F156" s="3">
        <v>26.0</v>
      </c>
      <c r="G156" s="3">
        <v>16.0</v>
      </c>
      <c r="H156" s="3">
        <v>0.0</v>
      </c>
      <c r="I156" s="3">
        <v>0.0</v>
      </c>
      <c r="J156" s="3">
        <v>0.0</v>
      </c>
      <c r="K156" s="3">
        <v>860.0</v>
      </c>
      <c r="L156" s="3">
        <v>5.0</v>
      </c>
      <c r="M156" s="3">
        <v>22.0</v>
      </c>
      <c r="N156" s="3">
        <v>185.0</v>
      </c>
      <c r="O156" s="3">
        <v>1.0</v>
      </c>
      <c r="P156" s="3">
        <v>3.0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  <c r="W156" s="3">
        <v>0.0</v>
      </c>
      <c r="X156" s="4">
        <f t="shared" si="1"/>
        <v>156.5</v>
      </c>
      <c r="Y156" s="4">
        <f t="shared" si="2"/>
        <v>9.78125</v>
      </c>
    </row>
    <row r="157">
      <c r="A157" s="1" t="s">
        <v>325</v>
      </c>
      <c r="B157" s="2" t="s">
        <v>31</v>
      </c>
      <c r="C157" s="1" t="s">
        <v>269</v>
      </c>
      <c r="D157" s="2" t="s">
        <v>54</v>
      </c>
      <c r="E157" s="2" t="s">
        <v>51</v>
      </c>
      <c r="F157" s="3">
        <v>23.0</v>
      </c>
      <c r="G157" s="3">
        <v>15.0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>
        <v>25.0</v>
      </c>
      <c r="N157" s="3">
        <v>312.0</v>
      </c>
      <c r="O157" s="3">
        <v>3.0</v>
      </c>
      <c r="P157" s="3">
        <v>1.0</v>
      </c>
      <c r="Q157" s="3">
        <v>0.0</v>
      </c>
      <c r="R157" s="3">
        <v>0.0</v>
      </c>
      <c r="S157" s="3">
        <v>0.0</v>
      </c>
      <c r="T157" s="3">
        <v>0.0</v>
      </c>
      <c r="U157" s="3">
        <v>0.0</v>
      </c>
      <c r="V157" s="3">
        <v>0.0</v>
      </c>
      <c r="W157" s="3">
        <v>0.0</v>
      </c>
      <c r="X157" s="4">
        <f t="shared" si="1"/>
        <v>72.2</v>
      </c>
      <c r="Y157" s="4">
        <f t="shared" si="2"/>
        <v>4.813333333</v>
      </c>
    </row>
    <row r="158">
      <c r="A158" s="1" t="s">
        <v>326</v>
      </c>
      <c r="B158" s="1" t="s">
        <v>31</v>
      </c>
      <c r="C158" s="1" t="s">
        <v>327</v>
      </c>
      <c r="D158" s="2" t="s">
        <v>172</v>
      </c>
      <c r="E158" s="2" t="s">
        <v>36</v>
      </c>
      <c r="F158" s="3">
        <v>30.0</v>
      </c>
      <c r="G158" s="3">
        <v>17.0</v>
      </c>
      <c r="H158" s="3">
        <v>0.0</v>
      </c>
      <c r="I158" s="3">
        <v>0.0</v>
      </c>
      <c r="J158" s="3">
        <v>0.0</v>
      </c>
      <c r="K158" s="3">
        <v>291.0</v>
      </c>
      <c r="L158" s="3">
        <v>1.0</v>
      </c>
      <c r="M158" s="3">
        <v>56.0</v>
      </c>
      <c r="N158" s="3">
        <v>512.0</v>
      </c>
      <c r="O158" s="3">
        <v>9.0</v>
      </c>
      <c r="P158" s="3">
        <v>1.0</v>
      </c>
      <c r="Q158" s="3">
        <v>1.0</v>
      </c>
      <c r="R158" s="3">
        <v>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  <c r="X158" s="4">
        <f t="shared" si="1"/>
        <v>196.3</v>
      </c>
      <c r="Y158" s="4">
        <f t="shared" si="2"/>
        <v>11.54705882</v>
      </c>
    </row>
    <row r="159">
      <c r="A159" s="1" t="s">
        <v>328</v>
      </c>
      <c r="B159" s="1" t="s">
        <v>68</v>
      </c>
      <c r="C159" s="1" t="s">
        <v>69</v>
      </c>
      <c r="D159" s="2" t="s">
        <v>50</v>
      </c>
      <c r="E159" s="2" t="s">
        <v>28</v>
      </c>
      <c r="F159" s="3">
        <v>23.0</v>
      </c>
      <c r="G159" s="3">
        <v>15.0</v>
      </c>
      <c r="H159" s="3">
        <v>0.0</v>
      </c>
      <c r="I159" s="3">
        <v>0.0</v>
      </c>
      <c r="J159" s="3">
        <v>0.0</v>
      </c>
      <c r="K159" s="3">
        <v>40.0</v>
      </c>
      <c r="L159" s="3">
        <v>0.0</v>
      </c>
      <c r="M159" s="3">
        <v>67.0</v>
      </c>
      <c r="N159" s="3">
        <v>972.0</v>
      </c>
      <c r="O159" s="3">
        <v>6.0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4">
        <f t="shared" si="1"/>
        <v>204.2</v>
      </c>
      <c r="Y159" s="4">
        <f t="shared" si="2"/>
        <v>13.61333333</v>
      </c>
    </row>
    <row r="160">
      <c r="A160" s="1" t="s">
        <v>329</v>
      </c>
      <c r="B160" s="1" t="s">
        <v>48</v>
      </c>
      <c r="C160" s="1" t="s">
        <v>330</v>
      </c>
      <c r="D160" s="2" t="s">
        <v>108</v>
      </c>
      <c r="E160" s="2" t="s">
        <v>39</v>
      </c>
      <c r="F160" s="3">
        <v>30.0</v>
      </c>
      <c r="G160" s="3">
        <v>11.0</v>
      </c>
      <c r="H160" s="3">
        <v>2437.0</v>
      </c>
      <c r="I160" s="3">
        <v>16.0</v>
      </c>
      <c r="J160" s="3">
        <v>4.0</v>
      </c>
      <c r="K160" s="3">
        <v>33.0</v>
      </c>
      <c r="L160" s="3">
        <v>2.0</v>
      </c>
      <c r="M160" s="3">
        <v>0.0</v>
      </c>
      <c r="N160" s="3">
        <v>0.0</v>
      </c>
      <c r="O160" s="3">
        <v>0.0</v>
      </c>
      <c r="P160" s="3">
        <v>3.0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4">
        <f t="shared" si="1"/>
        <v>162.78</v>
      </c>
      <c r="Y160" s="4">
        <f t="shared" si="2"/>
        <v>14.79818182</v>
      </c>
    </row>
    <row r="161">
      <c r="A161" s="1" t="s">
        <v>331</v>
      </c>
      <c r="B161" s="1" t="s">
        <v>58</v>
      </c>
      <c r="C161" s="1" t="s">
        <v>131</v>
      </c>
      <c r="D161" s="2" t="s">
        <v>253</v>
      </c>
      <c r="E161" s="2" t="s">
        <v>39</v>
      </c>
      <c r="F161" s="3">
        <v>25.0</v>
      </c>
      <c r="G161" s="3">
        <v>16.0</v>
      </c>
      <c r="H161" s="3">
        <v>4475.0</v>
      </c>
      <c r="I161" s="3">
        <v>35.0</v>
      </c>
      <c r="J161" s="3">
        <v>12.0</v>
      </c>
      <c r="K161" s="3">
        <v>257.0</v>
      </c>
      <c r="L161" s="3">
        <v>5.0</v>
      </c>
      <c r="M161" s="3">
        <v>0.0</v>
      </c>
      <c r="N161" s="3">
        <v>0.0</v>
      </c>
      <c r="O161" s="3">
        <v>0.0</v>
      </c>
      <c r="P161" s="3">
        <v>6.0</v>
      </c>
      <c r="Q161" s="3">
        <v>0.0</v>
      </c>
      <c r="R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4">
        <f t="shared" si="1"/>
        <v>338.7</v>
      </c>
      <c r="Y161" s="4">
        <f t="shared" si="2"/>
        <v>21.16875</v>
      </c>
    </row>
    <row r="162">
      <c r="A162" s="1" t="s">
        <v>332</v>
      </c>
      <c r="B162" s="1" t="s">
        <v>38</v>
      </c>
      <c r="C162" s="1" t="s">
        <v>94</v>
      </c>
      <c r="D162" s="2" t="s">
        <v>253</v>
      </c>
      <c r="E162" s="2" t="s">
        <v>36</v>
      </c>
      <c r="F162" s="3">
        <v>26.0</v>
      </c>
      <c r="G162" s="3">
        <v>14.0</v>
      </c>
      <c r="H162" s="3">
        <v>0.0</v>
      </c>
      <c r="I162" s="3">
        <v>0.0</v>
      </c>
      <c r="J162" s="3">
        <v>0.0</v>
      </c>
      <c r="K162" s="3">
        <v>814.0</v>
      </c>
      <c r="L162" s="3">
        <v>7.0</v>
      </c>
      <c r="M162" s="3">
        <v>60.0</v>
      </c>
      <c r="N162" s="3">
        <v>441.0</v>
      </c>
      <c r="O162" s="3">
        <v>2.0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4">
        <f t="shared" si="1"/>
        <v>239.5</v>
      </c>
      <c r="Y162" s="4">
        <f t="shared" si="2"/>
        <v>17.10714286</v>
      </c>
    </row>
    <row r="163">
      <c r="A163" s="1" t="s">
        <v>333</v>
      </c>
      <c r="B163" s="1" t="s">
        <v>319</v>
      </c>
      <c r="C163" s="1" t="s">
        <v>334</v>
      </c>
      <c r="D163" s="2" t="s">
        <v>83</v>
      </c>
      <c r="E163" s="2" t="s">
        <v>112</v>
      </c>
      <c r="F163" s="3">
        <v>26.0</v>
      </c>
      <c r="G163" s="3">
        <v>17.0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24.0</v>
      </c>
      <c r="S163" s="3">
        <v>13.0</v>
      </c>
      <c r="T163" s="3">
        <v>8.0</v>
      </c>
      <c r="U163" s="3">
        <v>4.0</v>
      </c>
      <c r="V163" s="3">
        <v>0.0</v>
      </c>
      <c r="W163" s="3">
        <v>5.0</v>
      </c>
      <c r="X163" s="4">
        <f t="shared" si="1"/>
        <v>110</v>
      </c>
      <c r="Y163" s="4">
        <f t="shared" si="2"/>
        <v>6.470588235</v>
      </c>
    </row>
    <row r="164">
      <c r="A164" s="1" t="s">
        <v>335</v>
      </c>
      <c r="B164" s="1" t="s">
        <v>155</v>
      </c>
      <c r="C164" s="1" t="s">
        <v>262</v>
      </c>
      <c r="D164" s="2" t="s">
        <v>54</v>
      </c>
      <c r="E164" s="2" t="s">
        <v>36</v>
      </c>
      <c r="F164" s="3">
        <v>23.0</v>
      </c>
      <c r="G164" s="3">
        <v>11.0</v>
      </c>
      <c r="H164" s="3">
        <v>0.0</v>
      </c>
      <c r="I164" s="3">
        <v>0.0</v>
      </c>
      <c r="J164" s="3">
        <v>0.0</v>
      </c>
      <c r="K164" s="3">
        <v>861.0</v>
      </c>
      <c r="L164" s="3">
        <v>4.0</v>
      </c>
      <c r="M164" s="3">
        <v>28.0</v>
      </c>
      <c r="N164" s="3">
        <v>143.0</v>
      </c>
      <c r="O164" s="3">
        <v>0.0</v>
      </c>
      <c r="P164" s="3">
        <v>3.0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4">
        <f t="shared" si="1"/>
        <v>146.4</v>
      </c>
      <c r="Y164" s="4">
        <f t="shared" si="2"/>
        <v>13.30909091</v>
      </c>
    </row>
    <row r="165">
      <c r="A165" s="1" t="s">
        <v>336</v>
      </c>
      <c r="B165" s="1" t="s">
        <v>110</v>
      </c>
      <c r="C165" s="1" t="s">
        <v>337</v>
      </c>
      <c r="D165" s="2" t="s">
        <v>203</v>
      </c>
      <c r="E165" s="2" t="s">
        <v>51</v>
      </c>
      <c r="F165" s="3">
        <v>27.0</v>
      </c>
      <c r="G165" s="3">
        <v>14.0</v>
      </c>
      <c r="H165" s="3">
        <v>0.0</v>
      </c>
      <c r="I165" s="3">
        <v>0.0</v>
      </c>
      <c r="J165" s="3">
        <v>0.0</v>
      </c>
      <c r="K165" s="3">
        <v>5.0</v>
      </c>
      <c r="L165" s="3">
        <v>0.0</v>
      </c>
      <c r="M165" s="3">
        <v>27.0</v>
      </c>
      <c r="N165" s="3">
        <v>245.0</v>
      </c>
      <c r="O165" s="3">
        <v>0.0</v>
      </c>
      <c r="P165" s="3">
        <v>1.0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  <c r="W165" s="3">
        <v>0.0</v>
      </c>
      <c r="X165" s="4">
        <f t="shared" si="1"/>
        <v>50</v>
      </c>
      <c r="Y165" s="4">
        <f t="shared" si="2"/>
        <v>3.571428571</v>
      </c>
    </row>
    <row r="166">
      <c r="A166" s="5" t="s">
        <v>338</v>
      </c>
      <c r="B166" s="1" t="s">
        <v>31</v>
      </c>
      <c r="C166" s="1" t="s">
        <v>257</v>
      </c>
      <c r="D166" s="2" t="s">
        <v>104</v>
      </c>
      <c r="E166" s="2" t="s">
        <v>51</v>
      </c>
      <c r="F166" s="3">
        <v>30.0</v>
      </c>
      <c r="G166" s="3">
        <v>15.0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  <c r="M166" s="3">
        <v>37.0</v>
      </c>
      <c r="N166" s="3">
        <v>495.0</v>
      </c>
      <c r="O166" s="3">
        <v>5.0</v>
      </c>
      <c r="P166" s="3">
        <v>1.0</v>
      </c>
      <c r="Q166" s="3">
        <v>1.0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4">
        <f t="shared" si="1"/>
        <v>116.5</v>
      </c>
      <c r="Y166" s="4">
        <f t="shared" si="2"/>
        <v>7.766666667</v>
      </c>
    </row>
    <row r="167">
      <c r="A167" s="5" t="s">
        <v>339</v>
      </c>
      <c r="B167" s="1" t="s">
        <v>38</v>
      </c>
      <c r="C167" s="1" t="s">
        <v>340</v>
      </c>
      <c r="D167" s="2" t="s">
        <v>223</v>
      </c>
      <c r="E167" s="2" t="s">
        <v>39</v>
      </c>
      <c r="F167" s="3">
        <v>26.0</v>
      </c>
      <c r="G167" s="3">
        <v>16.0</v>
      </c>
      <c r="H167" s="3">
        <v>4283.0</v>
      </c>
      <c r="I167" s="3">
        <v>35.0</v>
      </c>
      <c r="J167" s="3">
        <v>14.0</v>
      </c>
      <c r="K167" s="3">
        <v>762.0</v>
      </c>
      <c r="L167" s="3">
        <v>7.0</v>
      </c>
      <c r="M167" s="3">
        <v>0.0</v>
      </c>
      <c r="N167" s="3">
        <v>0.0</v>
      </c>
      <c r="O167" s="3">
        <v>0.0</v>
      </c>
      <c r="P167" s="3">
        <v>13.0</v>
      </c>
      <c r="Q167" s="3">
        <v>1.0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4">
        <f t="shared" si="1"/>
        <v>377.52</v>
      </c>
      <c r="Y167" s="4">
        <f t="shared" si="2"/>
        <v>23.595</v>
      </c>
    </row>
    <row r="168">
      <c r="A168" s="1" t="s">
        <v>341</v>
      </c>
      <c r="B168" s="1" t="s">
        <v>94</v>
      </c>
      <c r="C168" s="1" t="s">
        <v>69</v>
      </c>
      <c r="D168" s="2" t="s">
        <v>73</v>
      </c>
      <c r="E168" s="2" t="s">
        <v>36</v>
      </c>
      <c r="F168" s="3">
        <v>24.0</v>
      </c>
      <c r="G168" s="3">
        <v>17.0</v>
      </c>
      <c r="H168" s="3">
        <v>0.0</v>
      </c>
      <c r="I168" s="3">
        <v>0.0</v>
      </c>
      <c r="J168" s="3">
        <v>0.0</v>
      </c>
      <c r="K168" s="3">
        <v>1653.0</v>
      </c>
      <c r="L168" s="3">
        <v>12.0</v>
      </c>
      <c r="M168" s="3">
        <v>53.0</v>
      </c>
      <c r="N168" s="3">
        <v>400.0</v>
      </c>
      <c r="O168" s="3">
        <v>0.0</v>
      </c>
      <c r="P168" s="3">
        <v>3.0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4">
        <f t="shared" si="1"/>
        <v>324.3</v>
      </c>
      <c r="Y168" s="4">
        <f t="shared" si="2"/>
        <v>19.07647059</v>
      </c>
    </row>
    <row r="169">
      <c r="A169" s="1" t="s">
        <v>342</v>
      </c>
      <c r="B169" s="1" t="s">
        <v>343</v>
      </c>
      <c r="C169" s="1" t="s">
        <v>65</v>
      </c>
      <c r="D169" s="2" t="s">
        <v>89</v>
      </c>
      <c r="E169" s="2" t="s">
        <v>28</v>
      </c>
      <c r="F169" s="3">
        <v>23.0</v>
      </c>
      <c r="G169" s="3">
        <v>16.0</v>
      </c>
      <c r="H169" s="3">
        <v>0.0</v>
      </c>
      <c r="I169" s="3">
        <v>0.0</v>
      </c>
      <c r="J169" s="3">
        <v>0.0</v>
      </c>
      <c r="K169" s="3">
        <v>4.0</v>
      </c>
      <c r="L169" s="3">
        <v>0.0</v>
      </c>
      <c r="M169" s="3">
        <v>72.0</v>
      </c>
      <c r="N169" s="3">
        <v>769.0</v>
      </c>
      <c r="O169" s="3">
        <v>3.0</v>
      </c>
      <c r="P169" s="3">
        <v>1.0</v>
      </c>
      <c r="Q169" s="3">
        <v>1.0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4">
        <f t="shared" si="1"/>
        <v>167.3</v>
      </c>
      <c r="Y169" s="4">
        <f t="shared" si="2"/>
        <v>10.45625</v>
      </c>
    </row>
    <row r="170">
      <c r="A170" s="1" t="s">
        <v>344</v>
      </c>
      <c r="B170" s="1" t="s">
        <v>79</v>
      </c>
      <c r="C170" s="1" t="s">
        <v>163</v>
      </c>
      <c r="D170" s="2" t="s">
        <v>77</v>
      </c>
      <c r="E170" s="2" t="s">
        <v>28</v>
      </c>
      <c r="F170" s="3">
        <v>27.0</v>
      </c>
      <c r="G170" s="3">
        <v>14.0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38.0</v>
      </c>
      <c r="N170" s="3">
        <v>479.0</v>
      </c>
      <c r="O170" s="3">
        <v>3.0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4">
        <f t="shared" si="1"/>
        <v>103.9</v>
      </c>
      <c r="Y170" s="4">
        <f t="shared" si="2"/>
        <v>7.421428571</v>
      </c>
    </row>
    <row r="171">
      <c r="A171" s="1" t="s">
        <v>345</v>
      </c>
      <c r="B171" s="1" t="s">
        <v>38</v>
      </c>
      <c r="C171" s="1" t="s">
        <v>272</v>
      </c>
      <c r="D171" s="2" t="s">
        <v>89</v>
      </c>
      <c r="E171" s="2" t="s">
        <v>36</v>
      </c>
      <c r="F171" s="3">
        <v>24.0</v>
      </c>
      <c r="G171" s="3">
        <v>13.0</v>
      </c>
      <c r="H171" s="3">
        <v>0.0</v>
      </c>
      <c r="I171" s="3">
        <v>0.0</v>
      </c>
      <c r="J171" s="3">
        <v>0.0</v>
      </c>
      <c r="K171" s="3">
        <v>287.0</v>
      </c>
      <c r="L171" s="3">
        <v>2.0</v>
      </c>
      <c r="M171" s="3">
        <v>14.0</v>
      </c>
      <c r="N171" s="3">
        <v>101.0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4">
        <f t="shared" si="1"/>
        <v>64.8</v>
      </c>
      <c r="Y171" s="4">
        <f t="shared" si="2"/>
        <v>4.984615385</v>
      </c>
    </row>
    <row r="172">
      <c r="A172" s="1" t="s">
        <v>346</v>
      </c>
      <c r="B172" s="1" t="s">
        <v>75</v>
      </c>
      <c r="C172" s="1" t="s">
        <v>76</v>
      </c>
      <c r="D172" s="2" t="s">
        <v>172</v>
      </c>
      <c r="E172" s="2" t="s">
        <v>28</v>
      </c>
      <c r="F172" s="3">
        <v>25.0</v>
      </c>
      <c r="G172" s="3">
        <v>16.0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  <c r="M172" s="3">
        <v>78.0</v>
      </c>
      <c r="N172" s="3">
        <v>933.0</v>
      </c>
      <c r="O172" s="3">
        <v>3.0</v>
      </c>
      <c r="P172" s="3">
        <v>3.0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  <c r="X172" s="4">
        <f t="shared" si="1"/>
        <v>183.3</v>
      </c>
      <c r="Y172" s="4">
        <f t="shared" si="2"/>
        <v>11.45625</v>
      </c>
    </row>
    <row r="173">
      <c r="A173" s="1" t="s">
        <v>347</v>
      </c>
      <c r="B173" s="1" t="s">
        <v>69</v>
      </c>
      <c r="C173" s="1" t="s">
        <v>69</v>
      </c>
      <c r="D173" s="2" t="s">
        <v>129</v>
      </c>
      <c r="E173" s="2" t="s">
        <v>28</v>
      </c>
      <c r="F173" s="3">
        <v>33.0</v>
      </c>
      <c r="G173" s="3">
        <v>10.0</v>
      </c>
      <c r="H173" s="3">
        <v>0.0</v>
      </c>
      <c r="I173" s="3">
        <v>0.0</v>
      </c>
      <c r="J173" s="3">
        <v>0.0</v>
      </c>
      <c r="K173" s="3">
        <v>45.0</v>
      </c>
      <c r="L173" s="3">
        <v>0.0</v>
      </c>
      <c r="M173" s="3">
        <v>24.0</v>
      </c>
      <c r="N173" s="3">
        <v>299.0</v>
      </c>
      <c r="O173" s="3">
        <v>2.0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  <c r="X173" s="4">
        <f t="shared" si="1"/>
        <v>70.4</v>
      </c>
      <c r="Y173" s="4">
        <f t="shared" si="2"/>
        <v>7.04</v>
      </c>
    </row>
    <row r="174">
      <c r="A174" s="1" t="s">
        <v>348</v>
      </c>
      <c r="B174" s="1" t="s">
        <v>31</v>
      </c>
      <c r="C174" s="1" t="s">
        <v>161</v>
      </c>
      <c r="D174" s="2" t="s">
        <v>124</v>
      </c>
      <c r="E174" s="2" t="s">
        <v>39</v>
      </c>
      <c r="F174" s="3">
        <v>23.0</v>
      </c>
      <c r="G174" s="3">
        <v>15.0</v>
      </c>
      <c r="H174" s="3">
        <v>2242.0</v>
      </c>
      <c r="I174" s="3">
        <v>17.0</v>
      </c>
      <c r="J174" s="3">
        <v>11.0</v>
      </c>
      <c r="K174" s="3">
        <v>1143.0</v>
      </c>
      <c r="L174" s="3">
        <v>8.0</v>
      </c>
      <c r="M174" s="3">
        <v>0.0</v>
      </c>
      <c r="N174" s="3">
        <v>0.0</v>
      </c>
      <c r="O174" s="3">
        <v>0.0</v>
      </c>
      <c r="P174" s="3">
        <v>16.0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4">
        <f t="shared" si="1"/>
        <v>265.98</v>
      </c>
      <c r="Y174" s="4">
        <f t="shared" si="2"/>
        <v>17.732</v>
      </c>
    </row>
    <row r="175">
      <c r="A175" s="1" t="s">
        <v>349</v>
      </c>
      <c r="B175" s="1" t="s">
        <v>350</v>
      </c>
      <c r="C175" s="1" t="s">
        <v>350</v>
      </c>
      <c r="D175" s="2" t="s">
        <v>89</v>
      </c>
      <c r="E175" s="2" t="s">
        <v>39</v>
      </c>
      <c r="F175" s="3">
        <v>24.0</v>
      </c>
      <c r="G175" s="3">
        <v>17.0</v>
      </c>
      <c r="H175" s="3">
        <v>4739.0</v>
      </c>
      <c r="I175" s="3">
        <v>25.0</v>
      </c>
      <c r="J175" s="3">
        <v>10.0</v>
      </c>
      <c r="K175" s="3">
        <v>147.0</v>
      </c>
      <c r="L175" s="3">
        <v>0.0</v>
      </c>
      <c r="M175" s="3">
        <v>2.0</v>
      </c>
      <c r="N175" s="3">
        <v>-10.0</v>
      </c>
      <c r="O175" s="3">
        <v>0.0</v>
      </c>
      <c r="P175" s="3">
        <v>8.0</v>
      </c>
      <c r="Q175" s="3">
        <v>1.0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  <c r="W175" s="3">
        <v>0.0</v>
      </c>
      <c r="X175" s="4">
        <f t="shared" si="1"/>
        <v>271.26</v>
      </c>
      <c r="Y175" s="4">
        <f t="shared" si="2"/>
        <v>15.95647059</v>
      </c>
    </row>
    <row r="176">
      <c r="A176" s="1" t="s">
        <v>351</v>
      </c>
      <c r="B176" s="1" t="s">
        <v>48</v>
      </c>
      <c r="C176" s="1" t="s">
        <v>352</v>
      </c>
      <c r="D176" s="2" t="s">
        <v>77</v>
      </c>
      <c r="E176" s="2" t="s">
        <v>36</v>
      </c>
      <c r="F176" s="3">
        <v>26.0</v>
      </c>
      <c r="G176" s="3">
        <v>16.0</v>
      </c>
      <c r="H176" s="3">
        <v>0.0</v>
      </c>
      <c r="I176" s="3">
        <v>0.0</v>
      </c>
      <c r="J176" s="3">
        <v>0.0</v>
      </c>
      <c r="K176" s="3">
        <v>170.0</v>
      </c>
      <c r="L176" s="3">
        <v>1.0</v>
      </c>
      <c r="M176" s="3">
        <v>12.0</v>
      </c>
      <c r="N176" s="3">
        <v>101.0</v>
      </c>
      <c r="O176" s="3">
        <v>1.0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4">
        <f t="shared" si="1"/>
        <v>51.1</v>
      </c>
      <c r="Y176" s="4">
        <f t="shared" si="2"/>
        <v>3.19375</v>
      </c>
    </row>
    <row r="177">
      <c r="A177" s="1" t="s">
        <v>353</v>
      </c>
      <c r="B177" s="1" t="s">
        <v>100</v>
      </c>
      <c r="C177" s="1" t="s">
        <v>131</v>
      </c>
      <c r="D177" s="2" t="s">
        <v>43</v>
      </c>
      <c r="E177" s="2" t="s">
        <v>28</v>
      </c>
      <c r="F177" s="3">
        <v>23.0</v>
      </c>
      <c r="G177" s="3">
        <v>17.0</v>
      </c>
      <c r="H177" s="3">
        <v>34.0</v>
      </c>
      <c r="I177" s="3">
        <v>0.0</v>
      </c>
      <c r="J177" s="3">
        <v>0.0</v>
      </c>
      <c r="K177" s="3">
        <v>24.0</v>
      </c>
      <c r="L177" s="3">
        <v>1.0</v>
      </c>
      <c r="M177" s="3">
        <v>128.0</v>
      </c>
      <c r="N177" s="3">
        <v>1809.0</v>
      </c>
      <c r="O177" s="3">
        <v>8.0</v>
      </c>
      <c r="P177" s="3">
        <v>0.0</v>
      </c>
      <c r="Q177" s="3">
        <v>1.0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4">
        <f t="shared" si="1"/>
        <v>368.66</v>
      </c>
      <c r="Y177" s="4">
        <f t="shared" si="2"/>
        <v>21.68588235</v>
      </c>
    </row>
    <row r="178">
      <c r="A178" s="1" t="s">
        <v>354</v>
      </c>
      <c r="B178" s="1" t="s">
        <v>79</v>
      </c>
      <c r="C178" s="1" t="s">
        <v>79</v>
      </c>
      <c r="D178" s="2" t="s">
        <v>230</v>
      </c>
      <c r="E178" s="2" t="s">
        <v>112</v>
      </c>
      <c r="F178" s="3">
        <v>32.0</v>
      </c>
      <c r="G178" s="3">
        <v>17.0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0.0</v>
      </c>
      <c r="Q178" s="3">
        <v>0.0</v>
      </c>
      <c r="R178" s="3">
        <v>31.0</v>
      </c>
      <c r="S178" s="3">
        <v>24.0</v>
      </c>
      <c r="T178" s="3">
        <v>4.0</v>
      </c>
      <c r="U178" s="3">
        <v>9.0</v>
      </c>
      <c r="V178" s="3">
        <v>0.0</v>
      </c>
      <c r="W178" s="3">
        <v>6.0</v>
      </c>
      <c r="X178" s="4">
        <f t="shared" si="1"/>
        <v>158</v>
      </c>
      <c r="Y178" s="4">
        <f t="shared" si="2"/>
        <v>9.294117647</v>
      </c>
    </row>
    <row r="179">
      <c r="A179" s="1" t="s">
        <v>355</v>
      </c>
      <c r="B179" s="1" t="s">
        <v>110</v>
      </c>
      <c r="C179" s="1" t="s">
        <v>110</v>
      </c>
      <c r="D179" s="2" t="s">
        <v>172</v>
      </c>
      <c r="E179" s="2" t="s">
        <v>28</v>
      </c>
      <c r="F179" s="3">
        <v>26.0</v>
      </c>
      <c r="G179" s="3">
        <v>17.0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15.0</v>
      </c>
      <c r="N179" s="3">
        <v>315.0</v>
      </c>
      <c r="O179" s="3">
        <v>2.0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  <c r="X179" s="4">
        <f t="shared" si="1"/>
        <v>58.5</v>
      </c>
      <c r="Y179" s="4">
        <f t="shared" si="2"/>
        <v>3.441176471</v>
      </c>
    </row>
    <row r="180">
      <c r="A180" s="1" t="s">
        <v>356</v>
      </c>
      <c r="B180" s="1" t="s">
        <v>155</v>
      </c>
      <c r="C180" s="2" t="s">
        <v>350</v>
      </c>
      <c r="D180" s="2" t="s">
        <v>66</v>
      </c>
      <c r="E180" s="2" t="s">
        <v>51</v>
      </c>
      <c r="F180" s="3">
        <v>25.0</v>
      </c>
      <c r="G180" s="3">
        <v>16.0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42.0</v>
      </c>
      <c r="N180" s="3">
        <v>508.0</v>
      </c>
      <c r="O180" s="3">
        <v>7.0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  <c r="W180" s="3">
        <v>0.0</v>
      </c>
      <c r="X180" s="4">
        <f t="shared" si="1"/>
        <v>134.8</v>
      </c>
      <c r="Y180" s="4">
        <f t="shared" si="2"/>
        <v>8.425</v>
      </c>
    </row>
    <row r="181">
      <c r="A181" s="1" t="s">
        <v>357</v>
      </c>
      <c r="B181" s="1" t="s">
        <v>61</v>
      </c>
      <c r="C181" s="1" t="s">
        <v>115</v>
      </c>
      <c r="D181" s="2" t="s">
        <v>43</v>
      </c>
      <c r="E181" s="2" t="s">
        <v>28</v>
      </c>
      <c r="F181" s="3">
        <v>25.0</v>
      </c>
      <c r="G181" s="3">
        <v>17.0</v>
      </c>
      <c r="H181" s="3">
        <v>0.0</v>
      </c>
      <c r="I181" s="3">
        <v>0.0</v>
      </c>
      <c r="J181" s="3">
        <v>0.0</v>
      </c>
      <c r="K181" s="3">
        <v>6.0</v>
      </c>
      <c r="L181" s="3">
        <v>0.0</v>
      </c>
      <c r="M181" s="3">
        <v>60.0</v>
      </c>
      <c r="N181" s="3">
        <v>650.0</v>
      </c>
      <c r="O181" s="3">
        <v>5.0</v>
      </c>
      <c r="P181" s="3">
        <v>1.0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4">
        <f t="shared" si="1"/>
        <v>153.6</v>
      </c>
      <c r="Y181" s="4">
        <f t="shared" si="2"/>
        <v>9.035294118</v>
      </c>
    </row>
    <row r="182">
      <c r="A182" s="1" t="s">
        <v>358</v>
      </c>
      <c r="B182" s="1" t="s">
        <v>359</v>
      </c>
      <c r="C182" s="1" t="s">
        <v>272</v>
      </c>
      <c r="D182" s="2" t="s">
        <v>104</v>
      </c>
      <c r="E182" s="2" t="s">
        <v>112</v>
      </c>
      <c r="F182" s="3">
        <v>28.0</v>
      </c>
      <c r="G182" s="3">
        <v>17.0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24.0</v>
      </c>
      <c r="S182" s="3">
        <v>14.0</v>
      </c>
      <c r="T182" s="3">
        <v>9.0</v>
      </c>
      <c r="U182" s="3">
        <v>6.0</v>
      </c>
      <c r="V182" s="3">
        <v>0.0</v>
      </c>
      <c r="W182" s="3">
        <v>2.0</v>
      </c>
      <c r="X182" s="4">
        <f t="shared" si="1"/>
        <v>130</v>
      </c>
      <c r="Y182" s="4">
        <f t="shared" si="2"/>
        <v>7.647058824</v>
      </c>
    </row>
    <row r="183">
      <c r="A183" s="1" t="s">
        <v>360</v>
      </c>
      <c r="B183" s="1" t="s">
        <v>69</v>
      </c>
      <c r="C183" s="1" t="s">
        <v>68</v>
      </c>
      <c r="D183" s="2" t="s">
        <v>172</v>
      </c>
      <c r="E183" s="2" t="s">
        <v>28</v>
      </c>
      <c r="F183" s="3">
        <v>23.0</v>
      </c>
      <c r="G183" s="3">
        <v>9.0</v>
      </c>
      <c r="H183" s="3">
        <v>0.0</v>
      </c>
      <c r="I183" s="3">
        <v>0.0</v>
      </c>
      <c r="J183" s="3">
        <v>0.0</v>
      </c>
      <c r="K183" s="3">
        <v>82.0</v>
      </c>
      <c r="L183" s="3">
        <v>1.0</v>
      </c>
      <c r="M183" s="3">
        <v>16.0</v>
      </c>
      <c r="N183" s="3">
        <v>171.0</v>
      </c>
      <c r="O183" s="3">
        <v>2.0</v>
      </c>
      <c r="P183" s="3">
        <v>1.0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  <c r="W183" s="3">
        <v>0.0</v>
      </c>
      <c r="X183" s="4">
        <f t="shared" si="1"/>
        <v>57.3</v>
      </c>
      <c r="Y183" s="4">
        <f t="shared" si="2"/>
        <v>6.366666667</v>
      </c>
    </row>
    <row r="184">
      <c r="A184" s="1" t="s">
        <v>361</v>
      </c>
      <c r="B184" s="1" t="s">
        <v>31</v>
      </c>
      <c r="C184" s="1" t="s">
        <v>362</v>
      </c>
      <c r="D184" s="2" t="s">
        <v>77</v>
      </c>
      <c r="E184" s="2" t="s">
        <v>28</v>
      </c>
      <c r="F184" s="3">
        <v>28.0</v>
      </c>
      <c r="G184" s="3">
        <v>17.0</v>
      </c>
      <c r="H184" s="3">
        <v>0.0</v>
      </c>
      <c r="I184" s="3">
        <v>0.0</v>
      </c>
      <c r="J184" s="3">
        <v>0.0</v>
      </c>
      <c r="K184" s="3">
        <v>36.0</v>
      </c>
      <c r="L184" s="3">
        <v>0.0</v>
      </c>
      <c r="M184" s="3">
        <v>47.0</v>
      </c>
      <c r="N184" s="3">
        <v>616.0</v>
      </c>
      <c r="O184" s="3">
        <v>0.0</v>
      </c>
      <c r="P184" s="3">
        <v>3.0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4">
        <f t="shared" si="1"/>
        <v>106.2</v>
      </c>
      <c r="Y184" s="4">
        <f t="shared" si="2"/>
        <v>6.247058824</v>
      </c>
    </row>
    <row r="185">
      <c r="A185" s="1" t="s">
        <v>363</v>
      </c>
      <c r="B185" s="1" t="s">
        <v>85</v>
      </c>
      <c r="C185" s="1" t="s">
        <v>241</v>
      </c>
      <c r="D185" s="2" t="s">
        <v>70</v>
      </c>
      <c r="E185" s="2" t="s">
        <v>36</v>
      </c>
      <c r="F185" s="3">
        <v>27.0</v>
      </c>
      <c r="G185" s="3">
        <v>17.0</v>
      </c>
      <c r="H185" s="3">
        <v>0.0</v>
      </c>
      <c r="I185" s="3">
        <v>0.0</v>
      </c>
      <c r="J185" s="3">
        <v>0.0</v>
      </c>
      <c r="K185" s="3">
        <v>468.0</v>
      </c>
      <c r="L185" s="3">
        <v>3.0</v>
      </c>
      <c r="M185" s="3">
        <v>35.0</v>
      </c>
      <c r="N185" s="3">
        <v>210.0</v>
      </c>
      <c r="O185" s="3">
        <v>1.0</v>
      </c>
      <c r="P185" s="3">
        <v>1.0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0.0</v>
      </c>
      <c r="W185" s="3">
        <v>0.0</v>
      </c>
      <c r="X185" s="4">
        <f t="shared" si="1"/>
        <v>124.8</v>
      </c>
      <c r="Y185" s="4">
        <f t="shared" si="2"/>
        <v>7.341176471</v>
      </c>
    </row>
    <row r="186">
      <c r="A186" s="5" t="s">
        <v>364</v>
      </c>
      <c r="B186" s="1" t="s">
        <v>114</v>
      </c>
      <c r="C186" s="1" t="s">
        <v>38</v>
      </c>
      <c r="D186" s="2" t="s">
        <v>89</v>
      </c>
      <c r="E186" s="2" t="s">
        <v>28</v>
      </c>
      <c r="F186" s="3">
        <v>30.0</v>
      </c>
      <c r="G186" s="3">
        <v>10.0</v>
      </c>
      <c r="H186" s="3">
        <v>0.0</v>
      </c>
      <c r="I186" s="3">
        <v>0.0</v>
      </c>
      <c r="J186" s="3">
        <v>0.0</v>
      </c>
      <c r="K186" s="3">
        <v>8.0</v>
      </c>
      <c r="L186" s="3">
        <v>0.0</v>
      </c>
      <c r="M186" s="3">
        <v>66.0</v>
      </c>
      <c r="N186" s="3">
        <v>752.0</v>
      </c>
      <c r="O186" s="3">
        <v>4.0</v>
      </c>
      <c r="P186" s="3">
        <v>1.0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4">
        <f t="shared" si="1"/>
        <v>164</v>
      </c>
      <c r="Y186" s="4">
        <f t="shared" si="2"/>
        <v>16.4</v>
      </c>
    </row>
    <row r="187">
      <c r="A187" s="1" t="s">
        <v>365</v>
      </c>
      <c r="B187" s="1" t="s">
        <v>114</v>
      </c>
      <c r="C187" s="1" t="s">
        <v>270</v>
      </c>
      <c r="D187" s="2" t="s">
        <v>50</v>
      </c>
      <c r="E187" s="2" t="s">
        <v>28</v>
      </c>
      <c r="F187" s="3">
        <v>25.0</v>
      </c>
      <c r="G187" s="3">
        <v>12.0</v>
      </c>
      <c r="H187" s="3">
        <v>0.0</v>
      </c>
      <c r="I187" s="3">
        <v>0.0</v>
      </c>
      <c r="J187" s="3">
        <v>0.0</v>
      </c>
      <c r="K187" s="3">
        <v>13.0</v>
      </c>
      <c r="L187" s="3">
        <v>0.0</v>
      </c>
      <c r="M187" s="3">
        <v>24.0</v>
      </c>
      <c r="N187" s="3">
        <v>311.0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4">
        <f t="shared" si="1"/>
        <v>56.4</v>
      </c>
      <c r="Y187" s="4">
        <f t="shared" si="2"/>
        <v>4.7</v>
      </c>
    </row>
    <row r="188">
      <c r="A188" s="1" t="s">
        <v>366</v>
      </c>
      <c r="B188" s="1" t="s">
        <v>350</v>
      </c>
      <c r="C188" s="1" t="s">
        <v>177</v>
      </c>
      <c r="D188" s="2" t="s">
        <v>203</v>
      </c>
      <c r="E188" s="2" t="s">
        <v>28</v>
      </c>
      <c r="F188" s="3">
        <v>27.0</v>
      </c>
      <c r="G188" s="3">
        <v>16.0</v>
      </c>
      <c r="H188" s="3">
        <v>0.0</v>
      </c>
      <c r="I188" s="3">
        <v>0.0</v>
      </c>
      <c r="J188" s="3">
        <v>0.0</v>
      </c>
      <c r="K188" s="3">
        <v>39.0</v>
      </c>
      <c r="L188" s="3">
        <v>0.0</v>
      </c>
      <c r="M188" s="3">
        <v>35.0</v>
      </c>
      <c r="N188" s="3">
        <v>434.0</v>
      </c>
      <c r="O188" s="3">
        <v>1.0</v>
      </c>
      <c r="P188" s="3">
        <v>2.0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  <c r="W188" s="3">
        <v>0.0</v>
      </c>
      <c r="X188" s="4">
        <f t="shared" si="1"/>
        <v>84.3</v>
      </c>
      <c r="Y188" s="4">
        <f t="shared" si="2"/>
        <v>5.26875</v>
      </c>
    </row>
    <row r="189">
      <c r="A189" s="1" t="s">
        <v>367</v>
      </c>
      <c r="B189" s="1" t="s">
        <v>26</v>
      </c>
      <c r="C189" s="1" t="s">
        <v>82</v>
      </c>
      <c r="D189" s="2" t="s">
        <v>27</v>
      </c>
      <c r="E189" s="2" t="s">
        <v>36</v>
      </c>
      <c r="F189" s="3">
        <v>23.0</v>
      </c>
      <c r="G189" s="3">
        <v>17.0</v>
      </c>
      <c r="H189" s="3">
        <v>0.0</v>
      </c>
      <c r="I189" s="3">
        <v>0.0</v>
      </c>
      <c r="J189" s="3">
        <v>0.0</v>
      </c>
      <c r="K189" s="3">
        <v>240.0</v>
      </c>
      <c r="L189" s="3">
        <v>4.0</v>
      </c>
      <c r="M189" s="3">
        <v>23.0</v>
      </c>
      <c r="N189" s="3">
        <v>169.0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4">
        <f t="shared" si="1"/>
        <v>87.9</v>
      </c>
      <c r="Y189" s="4">
        <f t="shared" si="2"/>
        <v>5.170588235</v>
      </c>
    </row>
    <row r="190">
      <c r="A190" s="1" t="s">
        <v>368</v>
      </c>
      <c r="B190" s="1" t="s">
        <v>65</v>
      </c>
      <c r="C190" s="1" t="s">
        <v>369</v>
      </c>
      <c r="D190" s="2" t="s">
        <v>174</v>
      </c>
      <c r="E190" s="2" t="s">
        <v>36</v>
      </c>
      <c r="F190" s="3">
        <v>22.0</v>
      </c>
      <c r="G190" s="3">
        <v>15.0</v>
      </c>
      <c r="H190" s="3">
        <v>0.0</v>
      </c>
      <c r="I190" s="3">
        <v>0.0</v>
      </c>
      <c r="J190" s="3">
        <v>0.0</v>
      </c>
      <c r="K190" s="3">
        <v>1050.0</v>
      </c>
      <c r="L190" s="3">
        <v>9.0</v>
      </c>
      <c r="M190" s="3">
        <v>27.0</v>
      </c>
      <c r="N190" s="3">
        <v>165.0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4">
        <f t="shared" si="1"/>
        <v>202.5</v>
      </c>
      <c r="Y190" s="4">
        <f t="shared" si="2"/>
        <v>13.5</v>
      </c>
    </row>
    <row r="191">
      <c r="A191" s="1" t="s">
        <v>370</v>
      </c>
      <c r="B191" s="1" t="s">
        <v>155</v>
      </c>
      <c r="C191" s="1" t="s">
        <v>308</v>
      </c>
      <c r="D191" s="2" t="s">
        <v>149</v>
      </c>
      <c r="E191" s="2" t="s">
        <v>39</v>
      </c>
      <c r="F191" s="3">
        <v>24.0</v>
      </c>
      <c r="G191" s="3">
        <v>13.0</v>
      </c>
      <c r="H191" s="3">
        <v>2404.0</v>
      </c>
      <c r="I191" s="3">
        <v>7.0</v>
      </c>
      <c r="J191" s="3">
        <v>9.0</v>
      </c>
      <c r="K191" s="3">
        <v>237.0</v>
      </c>
      <c r="L191" s="3">
        <v>3.0</v>
      </c>
      <c r="M191" s="3">
        <v>0.0</v>
      </c>
      <c r="N191" s="3">
        <v>0.0</v>
      </c>
      <c r="O191" s="3">
        <v>0.0</v>
      </c>
      <c r="P191" s="3">
        <v>4.0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  <c r="W191" s="3">
        <v>0.0</v>
      </c>
      <c r="X191" s="4">
        <f t="shared" si="1"/>
        <v>139.86</v>
      </c>
      <c r="Y191" s="4">
        <f t="shared" si="2"/>
        <v>10.75846154</v>
      </c>
    </row>
    <row r="192">
      <c r="A192" s="1" t="s">
        <v>371</v>
      </c>
      <c r="B192" s="1" t="s">
        <v>31</v>
      </c>
      <c r="C192" s="1" t="s">
        <v>69</v>
      </c>
      <c r="D192" s="2" t="s">
        <v>230</v>
      </c>
      <c r="E192" s="2" t="s">
        <v>36</v>
      </c>
      <c r="F192" s="3">
        <v>28.0</v>
      </c>
      <c r="G192" s="3">
        <v>12.0</v>
      </c>
      <c r="H192" s="3">
        <v>0.0</v>
      </c>
      <c r="I192" s="3">
        <v>0.0</v>
      </c>
      <c r="J192" s="3">
        <v>0.0</v>
      </c>
      <c r="K192" s="3">
        <v>482.0</v>
      </c>
      <c r="L192" s="3">
        <v>4.0</v>
      </c>
      <c r="M192" s="3">
        <v>17.0</v>
      </c>
      <c r="N192" s="3">
        <v>89.0</v>
      </c>
      <c r="O192" s="3">
        <v>1.0</v>
      </c>
      <c r="P192" s="3">
        <v>1.0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4">
        <f t="shared" si="1"/>
        <v>102.1</v>
      </c>
      <c r="Y192" s="4">
        <f t="shared" si="2"/>
        <v>8.508333333</v>
      </c>
    </row>
    <row r="193">
      <c r="A193" s="1" t="s">
        <v>372</v>
      </c>
      <c r="B193" s="1" t="s">
        <v>68</v>
      </c>
      <c r="C193" s="1" t="s">
        <v>334</v>
      </c>
      <c r="D193" s="2" t="s">
        <v>124</v>
      </c>
      <c r="E193" s="2" t="s">
        <v>36</v>
      </c>
      <c r="F193" s="3">
        <v>24.0</v>
      </c>
      <c r="G193" s="3">
        <v>13.0</v>
      </c>
      <c r="H193" s="3">
        <v>0.0</v>
      </c>
      <c r="I193" s="3">
        <v>0.0</v>
      </c>
      <c r="J193" s="3">
        <v>0.0</v>
      </c>
      <c r="K193" s="3">
        <v>731.0</v>
      </c>
      <c r="L193" s="3">
        <v>4.0</v>
      </c>
      <c r="M193" s="3">
        <v>9.0</v>
      </c>
      <c r="N193" s="3">
        <v>57.0</v>
      </c>
      <c r="O193" s="3">
        <v>1.0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4">
        <f t="shared" si="1"/>
        <v>117.8</v>
      </c>
      <c r="Y193" s="4">
        <f t="shared" si="2"/>
        <v>9.061538462</v>
      </c>
    </row>
    <row r="194">
      <c r="A194" s="1" t="s">
        <v>373</v>
      </c>
      <c r="B194" s="1" t="s">
        <v>48</v>
      </c>
      <c r="C194" s="1" t="s">
        <v>369</v>
      </c>
      <c r="D194" s="2" t="s">
        <v>43</v>
      </c>
      <c r="E194" s="2" t="s">
        <v>39</v>
      </c>
      <c r="F194" s="3">
        <v>34.0</v>
      </c>
      <c r="G194" s="3">
        <v>17.0</v>
      </c>
      <c r="H194" s="3">
        <v>4547.0</v>
      </c>
      <c r="I194" s="3">
        <v>29.0</v>
      </c>
      <c r="J194" s="3">
        <v>14.0</v>
      </c>
      <c r="K194" s="3">
        <v>97.0</v>
      </c>
      <c r="L194" s="3">
        <v>2.0</v>
      </c>
      <c r="M194" s="3">
        <v>0.0</v>
      </c>
      <c r="N194" s="3">
        <v>0.0</v>
      </c>
      <c r="O194" s="3">
        <v>0.0</v>
      </c>
      <c r="P194" s="3">
        <v>7.0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  <c r="W194" s="3">
        <v>0.0</v>
      </c>
      <c r="X194" s="4">
        <f t="shared" si="1"/>
        <v>277.58</v>
      </c>
      <c r="Y194" s="4">
        <f t="shared" si="2"/>
        <v>16.32823529</v>
      </c>
    </row>
    <row r="195">
      <c r="A195" s="1" t="s">
        <v>374</v>
      </c>
      <c r="B195" s="1" t="s">
        <v>85</v>
      </c>
      <c r="C195" s="1" t="s">
        <v>141</v>
      </c>
      <c r="D195" s="2" t="s">
        <v>108</v>
      </c>
      <c r="E195" s="2" t="s">
        <v>36</v>
      </c>
      <c r="F195" s="3">
        <v>31.0</v>
      </c>
      <c r="G195" s="3">
        <v>16.0</v>
      </c>
      <c r="H195" s="3">
        <v>0.0</v>
      </c>
      <c r="I195" s="3">
        <v>0.0</v>
      </c>
      <c r="J195" s="3">
        <v>0.0</v>
      </c>
      <c r="K195" s="3">
        <v>26.0</v>
      </c>
      <c r="L195" s="3">
        <v>1.0</v>
      </c>
      <c r="M195" s="3">
        <v>19.0</v>
      </c>
      <c r="N195" s="3">
        <v>200.0</v>
      </c>
      <c r="O195" s="3">
        <v>1.0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4">
        <f t="shared" si="1"/>
        <v>53.6</v>
      </c>
      <c r="Y195" s="4">
        <f t="shared" si="2"/>
        <v>3.35</v>
      </c>
    </row>
    <row r="196">
      <c r="A196" s="1" t="s">
        <v>375</v>
      </c>
      <c r="B196" s="1" t="s">
        <v>110</v>
      </c>
      <c r="C196" s="1" t="s">
        <v>68</v>
      </c>
      <c r="D196" s="2" t="s">
        <v>137</v>
      </c>
      <c r="E196" s="2" t="s">
        <v>51</v>
      </c>
      <c r="F196" s="3">
        <v>22.0</v>
      </c>
      <c r="G196" s="3">
        <v>10.0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28.0</v>
      </c>
      <c r="N196" s="3">
        <v>356.0</v>
      </c>
      <c r="O196" s="3">
        <v>2.0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  <c r="W196" s="3">
        <v>0.0</v>
      </c>
      <c r="X196" s="4">
        <f t="shared" si="1"/>
        <v>75.6</v>
      </c>
      <c r="Y196" s="4">
        <f t="shared" si="2"/>
        <v>7.56</v>
      </c>
    </row>
    <row r="197">
      <c r="A197" s="1" t="s">
        <v>376</v>
      </c>
      <c r="B197" s="1" t="s">
        <v>79</v>
      </c>
      <c r="C197" s="1" t="s">
        <v>184</v>
      </c>
      <c r="D197" s="2" t="s">
        <v>54</v>
      </c>
      <c r="E197" s="2" t="s">
        <v>51</v>
      </c>
      <c r="F197" s="3">
        <v>24.0</v>
      </c>
      <c r="G197" s="3">
        <v>13.0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31.0</v>
      </c>
      <c r="N197" s="3">
        <v>302.0</v>
      </c>
      <c r="O197" s="3">
        <v>0.0</v>
      </c>
      <c r="P197" s="3">
        <v>1.0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  <c r="W197" s="3">
        <v>0.0</v>
      </c>
      <c r="X197" s="4">
        <f t="shared" si="1"/>
        <v>59.2</v>
      </c>
      <c r="Y197" s="4">
        <f t="shared" si="2"/>
        <v>4.553846154</v>
      </c>
    </row>
    <row r="198">
      <c r="A198" s="1" t="s">
        <v>377</v>
      </c>
      <c r="B198" s="1" t="s">
        <v>79</v>
      </c>
      <c r="C198" s="1" t="s">
        <v>94</v>
      </c>
      <c r="D198" s="2" t="s">
        <v>32</v>
      </c>
      <c r="E198" s="2" t="s">
        <v>39</v>
      </c>
      <c r="F198" s="3">
        <v>25.0</v>
      </c>
      <c r="G198" s="3">
        <v>11.0</v>
      </c>
      <c r="H198" s="3">
        <v>2368.0</v>
      </c>
      <c r="I198" s="3">
        <v>14.0</v>
      </c>
      <c r="J198" s="3">
        <v>7.0</v>
      </c>
      <c r="K198" s="3">
        <v>418.0</v>
      </c>
      <c r="L198" s="3">
        <v>3.0</v>
      </c>
      <c r="M198" s="3">
        <v>0.0</v>
      </c>
      <c r="N198" s="3">
        <v>0.0</v>
      </c>
      <c r="O198" s="3">
        <v>0.0</v>
      </c>
      <c r="P198" s="3">
        <v>8.0</v>
      </c>
      <c r="Q198" s="3">
        <v>1.0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  <c r="W198" s="3">
        <v>0.0</v>
      </c>
      <c r="X198" s="4">
        <f t="shared" si="1"/>
        <v>182.52</v>
      </c>
      <c r="Y198" s="4">
        <f t="shared" si="2"/>
        <v>16.59272727</v>
      </c>
    </row>
    <row r="199">
      <c r="A199" s="1" t="s">
        <v>378</v>
      </c>
      <c r="B199" s="1" t="s">
        <v>68</v>
      </c>
      <c r="C199" s="1" t="s">
        <v>235</v>
      </c>
      <c r="D199" s="2" t="s">
        <v>230</v>
      </c>
      <c r="E199" s="2" t="s">
        <v>39</v>
      </c>
      <c r="F199" s="3">
        <v>25.0</v>
      </c>
      <c r="G199" s="3">
        <v>12.0</v>
      </c>
      <c r="H199" s="3">
        <v>2242.0</v>
      </c>
      <c r="I199" s="3">
        <v>17.0</v>
      </c>
      <c r="J199" s="3">
        <v>7.0</v>
      </c>
      <c r="K199" s="3">
        <v>764.0</v>
      </c>
      <c r="L199" s="3">
        <v>3.0</v>
      </c>
      <c r="M199" s="3">
        <v>0.0</v>
      </c>
      <c r="N199" s="3">
        <v>0.0</v>
      </c>
      <c r="O199" s="3">
        <v>0.0</v>
      </c>
      <c r="P199" s="3">
        <v>5.0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  <c r="X199" s="4">
        <f t="shared" si="1"/>
        <v>228.08</v>
      </c>
      <c r="Y199" s="4">
        <f t="shared" si="2"/>
        <v>19.00666667</v>
      </c>
    </row>
    <row r="200">
      <c r="A200" s="1" t="s">
        <v>379</v>
      </c>
      <c r="B200" s="1" t="s">
        <v>68</v>
      </c>
      <c r="C200" s="1" t="s">
        <v>257</v>
      </c>
      <c r="D200" s="2" t="s">
        <v>50</v>
      </c>
      <c r="E200" s="2" t="s">
        <v>36</v>
      </c>
      <c r="F200" s="3">
        <v>32.0</v>
      </c>
      <c r="G200" s="3">
        <v>13.0</v>
      </c>
      <c r="H200" s="3">
        <v>0.0</v>
      </c>
      <c r="I200" s="3">
        <v>0.0</v>
      </c>
      <c r="J200" s="3">
        <v>0.0</v>
      </c>
      <c r="K200" s="3">
        <v>760.0</v>
      </c>
      <c r="L200" s="3">
        <v>6.0</v>
      </c>
      <c r="M200" s="3">
        <v>27.0</v>
      </c>
      <c r="N200" s="3">
        <v>132.0</v>
      </c>
      <c r="O200" s="3">
        <v>0.0</v>
      </c>
      <c r="P200" s="3">
        <v>1.0</v>
      </c>
      <c r="Q200" s="3">
        <v>1.0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  <c r="W200" s="3">
        <v>0.0</v>
      </c>
      <c r="X200" s="4">
        <f t="shared" si="1"/>
        <v>152.2</v>
      </c>
      <c r="Y200" s="4">
        <f t="shared" si="2"/>
        <v>11.70769231</v>
      </c>
    </row>
    <row r="201">
      <c r="A201" s="1" t="s">
        <v>380</v>
      </c>
      <c r="B201" s="1" t="s">
        <v>79</v>
      </c>
      <c r="C201" s="1" t="s">
        <v>166</v>
      </c>
      <c r="D201" s="2" t="s">
        <v>95</v>
      </c>
      <c r="E201" s="2" t="s">
        <v>28</v>
      </c>
      <c r="F201" s="3">
        <v>24.0</v>
      </c>
      <c r="G201" s="3">
        <v>13.0</v>
      </c>
      <c r="H201" s="3">
        <v>0.0</v>
      </c>
      <c r="I201" s="3">
        <v>0.0</v>
      </c>
      <c r="J201" s="3">
        <v>0.0</v>
      </c>
      <c r="K201" s="3">
        <v>65.0</v>
      </c>
      <c r="L201" s="3">
        <v>1.0</v>
      </c>
      <c r="M201" s="3">
        <v>27.0</v>
      </c>
      <c r="N201" s="3">
        <v>272.0</v>
      </c>
      <c r="O201" s="3">
        <v>1.0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  <c r="W201" s="3">
        <v>0.0</v>
      </c>
      <c r="X201" s="4">
        <f t="shared" si="1"/>
        <v>72.7</v>
      </c>
      <c r="Y201" s="4">
        <f t="shared" si="2"/>
        <v>5.592307692</v>
      </c>
    </row>
    <row r="202">
      <c r="A202" s="1" t="s">
        <v>381</v>
      </c>
      <c r="B202" s="1" t="s">
        <v>100</v>
      </c>
      <c r="C202" s="1" t="s">
        <v>131</v>
      </c>
      <c r="D202" s="2" t="s">
        <v>129</v>
      </c>
      <c r="E202" s="2" t="s">
        <v>36</v>
      </c>
      <c r="F202" s="3">
        <v>27.0</v>
      </c>
      <c r="G202" s="3">
        <v>16.0</v>
      </c>
      <c r="H202" s="3">
        <v>0.0</v>
      </c>
      <c r="I202" s="3">
        <v>0.0</v>
      </c>
      <c r="J202" s="3">
        <v>1.0</v>
      </c>
      <c r="K202" s="3">
        <v>668.0</v>
      </c>
      <c r="L202" s="3">
        <v>3.0</v>
      </c>
      <c r="M202" s="3">
        <v>73.0</v>
      </c>
      <c r="N202" s="3">
        <v>523.0</v>
      </c>
      <c r="O202" s="3">
        <v>3.0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0.0</v>
      </c>
      <c r="V202" s="3">
        <v>0.0</v>
      </c>
      <c r="W202" s="3">
        <v>0.0</v>
      </c>
      <c r="X202" s="4">
        <f t="shared" si="1"/>
        <v>226.1</v>
      </c>
      <c r="Y202" s="4">
        <f t="shared" si="2"/>
        <v>14.13125</v>
      </c>
    </row>
    <row r="203">
      <c r="A203" s="1" t="s">
        <v>382</v>
      </c>
      <c r="B203" s="1" t="s">
        <v>269</v>
      </c>
      <c r="C203" s="1" t="s">
        <v>334</v>
      </c>
      <c r="D203" s="2" t="s">
        <v>83</v>
      </c>
      <c r="E203" s="2" t="s">
        <v>51</v>
      </c>
      <c r="F203" s="3">
        <v>31.0</v>
      </c>
      <c r="G203" s="3">
        <v>14.0</v>
      </c>
      <c r="H203" s="3">
        <v>0.0</v>
      </c>
      <c r="I203" s="3">
        <v>0.0</v>
      </c>
      <c r="J203" s="3">
        <v>0.0</v>
      </c>
      <c r="K203" s="3">
        <v>0.0</v>
      </c>
      <c r="L203" s="3">
        <v>0.0</v>
      </c>
      <c r="M203" s="3">
        <v>39.0</v>
      </c>
      <c r="N203" s="3">
        <v>323.0</v>
      </c>
      <c r="O203" s="3">
        <v>1.0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0.0</v>
      </c>
      <c r="V203" s="3">
        <v>0.0</v>
      </c>
      <c r="W203" s="3">
        <v>0.0</v>
      </c>
      <c r="X203" s="4">
        <f t="shared" si="1"/>
        <v>77.3</v>
      </c>
      <c r="Y203" s="4">
        <f t="shared" si="2"/>
        <v>5.521428571</v>
      </c>
    </row>
    <row r="204">
      <c r="A204" s="1" t="s">
        <v>383</v>
      </c>
      <c r="B204" s="1" t="s">
        <v>68</v>
      </c>
      <c r="C204" s="1" t="s">
        <v>69</v>
      </c>
      <c r="D204" s="2" t="s">
        <v>203</v>
      </c>
      <c r="E204" s="2" t="s">
        <v>39</v>
      </c>
      <c r="F204" s="3">
        <v>24.0</v>
      </c>
      <c r="G204" s="3">
        <v>14.0</v>
      </c>
      <c r="H204" s="3">
        <v>2997.0</v>
      </c>
      <c r="I204" s="3">
        <v>14.0</v>
      </c>
      <c r="J204" s="3">
        <v>11.0</v>
      </c>
      <c r="K204" s="3">
        <v>102.0</v>
      </c>
      <c r="L204" s="3">
        <v>1.0</v>
      </c>
      <c r="M204" s="3">
        <v>0.0</v>
      </c>
      <c r="N204" s="3">
        <v>0.0</v>
      </c>
      <c r="O204" s="3">
        <v>0.0</v>
      </c>
      <c r="P204" s="3">
        <v>5.0</v>
      </c>
      <c r="Q204" s="3">
        <v>0.0</v>
      </c>
      <c r="R204" s="3">
        <v>0.0</v>
      </c>
      <c r="S204" s="3">
        <v>0.0</v>
      </c>
      <c r="T204" s="3">
        <v>0.0</v>
      </c>
      <c r="U204" s="3">
        <v>0.0</v>
      </c>
      <c r="V204" s="3">
        <v>0.0</v>
      </c>
      <c r="W204" s="3">
        <v>0.0</v>
      </c>
      <c r="X204" s="4">
        <f t="shared" si="1"/>
        <v>160.08</v>
      </c>
      <c r="Y204" s="4">
        <f t="shared" si="2"/>
        <v>11.43428571</v>
      </c>
    </row>
    <row r="205">
      <c r="A205" s="1" t="s">
        <v>384</v>
      </c>
      <c r="B205" s="1" t="s">
        <v>45</v>
      </c>
      <c r="C205" s="1" t="s">
        <v>114</v>
      </c>
      <c r="D205" s="2" t="s">
        <v>73</v>
      </c>
      <c r="E205" s="2" t="s">
        <v>28</v>
      </c>
      <c r="F205" s="3">
        <v>29.0</v>
      </c>
      <c r="G205" s="3">
        <v>17.0</v>
      </c>
      <c r="H205" s="3">
        <v>4.0</v>
      </c>
      <c r="I205" s="3">
        <v>0.0</v>
      </c>
      <c r="J205" s="3">
        <v>0.0</v>
      </c>
      <c r="K205" s="3">
        <v>40.0</v>
      </c>
      <c r="L205" s="3">
        <v>0.0</v>
      </c>
      <c r="M205" s="3">
        <v>57.0</v>
      </c>
      <c r="N205" s="3">
        <v>690.0</v>
      </c>
      <c r="O205" s="3">
        <v>4.0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0.0</v>
      </c>
      <c r="V205" s="3">
        <v>0.0</v>
      </c>
      <c r="W205" s="3">
        <v>0.0</v>
      </c>
      <c r="X205" s="4">
        <f t="shared" si="1"/>
        <v>154.16</v>
      </c>
      <c r="Y205" s="4">
        <f t="shared" si="2"/>
        <v>9.068235294</v>
      </c>
    </row>
    <row r="206">
      <c r="A206" s="1" t="s">
        <v>385</v>
      </c>
      <c r="B206" s="1" t="s">
        <v>359</v>
      </c>
      <c r="C206" s="1" t="s">
        <v>350</v>
      </c>
      <c r="D206" s="2" t="s">
        <v>137</v>
      </c>
      <c r="E206" s="2" t="s">
        <v>39</v>
      </c>
      <c r="F206" s="3">
        <v>29.0</v>
      </c>
      <c r="G206" s="3">
        <v>13.0</v>
      </c>
      <c r="H206" s="3">
        <v>2219.0</v>
      </c>
      <c r="I206" s="3">
        <v>15.0</v>
      </c>
      <c r="J206" s="3">
        <v>9.0</v>
      </c>
      <c r="K206" s="3">
        <v>438.0</v>
      </c>
      <c r="L206" s="3">
        <v>4.0</v>
      </c>
      <c r="M206" s="3">
        <v>0.0</v>
      </c>
      <c r="N206" s="3">
        <v>0.0</v>
      </c>
      <c r="O206" s="3">
        <v>0.0</v>
      </c>
      <c r="P206" s="3">
        <v>8.0</v>
      </c>
      <c r="Q206" s="3">
        <v>0.0</v>
      </c>
      <c r="R206" s="3">
        <v>0.0</v>
      </c>
      <c r="S206" s="3">
        <v>0.0</v>
      </c>
      <c r="T206" s="3">
        <v>0.0</v>
      </c>
      <c r="U206" s="3">
        <v>0.0</v>
      </c>
      <c r="V206" s="3">
        <v>0.0</v>
      </c>
      <c r="W206" s="3">
        <v>0.0</v>
      </c>
      <c r="X206" s="4">
        <f t="shared" si="1"/>
        <v>182.56</v>
      </c>
      <c r="Y206" s="4">
        <f t="shared" si="2"/>
        <v>14.04307692</v>
      </c>
    </row>
    <row r="207">
      <c r="A207" s="5" t="s">
        <v>386</v>
      </c>
      <c r="B207" s="1" t="s">
        <v>121</v>
      </c>
      <c r="C207" s="1" t="s">
        <v>94</v>
      </c>
      <c r="D207" s="2" t="s">
        <v>230</v>
      </c>
      <c r="E207" s="2" t="s">
        <v>51</v>
      </c>
      <c r="F207" s="3">
        <v>27.0</v>
      </c>
      <c r="G207" s="3">
        <v>15.0</v>
      </c>
      <c r="H207" s="3">
        <v>0.0</v>
      </c>
      <c r="I207" s="3">
        <v>0.0</v>
      </c>
      <c r="J207" s="3">
        <v>0.0</v>
      </c>
      <c r="K207" s="3">
        <v>8.0</v>
      </c>
      <c r="L207" s="3">
        <v>0.0</v>
      </c>
      <c r="M207" s="3">
        <v>73.0</v>
      </c>
      <c r="N207" s="3">
        <v>847.0</v>
      </c>
      <c r="O207" s="3">
        <v>5.0</v>
      </c>
      <c r="P207" s="3">
        <v>1.0</v>
      </c>
      <c r="Q207" s="3">
        <v>1.0</v>
      </c>
      <c r="R207" s="3">
        <v>0.0</v>
      </c>
      <c r="S207" s="3">
        <v>0.0</v>
      </c>
      <c r="T207" s="3">
        <v>0.0</v>
      </c>
      <c r="U207" s="3">
        <v>0.0</v>
      </c>
      <c r="V207" s="3">
        <v>0.0</v>
      </c>
      <c r="W207" s="3">
        <v>0.0</v>
      </c>
      <c r="X207" s="4">
        <f t="shared" si="1"/>
        <v>188.5</v>
      </c>
      <c r="Y207" s="4">
        <f t="shared" si="2"/>
        <v>12.56666667</v>
      </c>
    </row>
    <row r="208">
      <c r="A208" s="1" t="s">
        <v>387</v>
      </c>
      <c r="B208" s="1" t="s">
        <v>155</v>
      </c>
      <c r="C208" s="1" t="s">
        <v>69</v>
      </c>
      <c r="D208" s="2" t="s">
        <v>66</v>
      </c>
      <c r="E208" s="2" t="s">
        <v>36</v>
      </c>
      <c r="F208" s="3">
        <v>33.0</v>
      </c>
      <c r="G208" s="3">
        <v>10.0</v>
      </c>
      <c r="H208" s="3">
        <v>0.0</v>
      </c>
      <c r="I208" s="3">
        <v>0.0</v>
      </c>
      <c r="J208" s="3">
        <v>0.0</v>
      </c>
      <c r="K208" s="3">
        <v>233.0</v>
      </c>
      <c r="L208" s="3">
        <v>1.0</v>
      </c>
      <c r="M208" s="3">
        <v>16.0</v>
      </c>
      <c r="N208" s="3">
        <v>68.0</v>
      </c>
      <c r="O208" s="3">
        <v>0.0</v>
      </c>
      <c r="P208" s="3">
        <v>2.0</v>
      </c>
      <c r="Q208" s="3">
        <v>1.0</v>
      </c>
      <c r="R208" s="3">
        <v>0.0</v>
      </c>
      <c r="S208" s="3">
        <v>0.0</v>
      </c>
      <c r="T208" s="3">
        <v>0.0</v>
      </c>
      <c r="U208" s="3">
        <v>0.0</v>
      </c>
      <c r="V208" s="3">
        <v>0.0</v>
      </c>
      <c r="W208" s="3">
        <v>0.0</v>
      </c>
      <c r="X208" s="4">
        <f t="shared" si="1"/>
        <v>50.1</v>
      </c>
      <c r="Y208" s="4">
        <f t="shared" si="2"/>
        <v>5.01</v>
      </c>
    </row>
    <row r="209">
      <c r="A209" s="1" t="s">
        <v>388</v>
      </c>
      <c r="B209" s="1" t="s">
        <v>68</v>
      </c>
      <c r="C209" s="1" t="s">
        <v>389</v>
      </c>
      <c r="D209" s="2" t="s">
        <v>50</v>
      </c>
      <c r="E209" s="2" t="s">
        <v>36</v>
      </c>
      <c r="F209" s="3">
        <v>26.0</v>
      </c>
      <c r="G209" s="3">
        <v>8.0</v>
      </c>
      <c r="H209" s="3">
        <v>0.0</v>
      </c>
      <c r="I209" s="3">
        <v>0.0</v>
      </c>
      <c r="J209" s="3">
        <v>0.0</v>
      </c>
      <c r="K209" s="3">
        <v>84.0</v>
      </c>
      <c r="L209" s="3">
        <v>1.0</v>
      </c>
      <c r="M209" s="3">
        <v>8.0</v>
      </c>
      <c r="N209" s="3">
        <v>99.0</v>
      </c>
      <c r="O209" s="3">
        <v>1.0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0.0</v>
      </c>
      <c r="V209" s="3">
        <v>0.0</v>
      </c>
      <c r="W209" s="3">
        <v>0.0</v>
      </c>
      <c r="X209" s="4">
        <f t="shared" si="1"/>
        <v>38.3</v>
      </c>
      <c r="Y209" s="4">
        <f t="shared" si="2"/>
        <v>4.7875</v>
      </c>
    </row>
    <row r="210">
      <c r="A210" s="1" t="s">
        <v>390</v>
      </c>
      <c r="B210" s="1" t="s">
        <v>68</v>
      </c>
      <c r="C210" s="1" t="s">
        <v>389</v>
      </c>
      <c r="D210" s="2" t="s">
        <v>172</v>
      </c>
      <c r="E210" s="2" t="s">
        <v>28</v>
      </c>
      <c r="F210" s="3">
        <v>28.0</v>
      </c>
      <c r="G210" s="3">
        <v>17.0</v>
      </c>
      <c r="H210" s="3">
        <v>0.0</v>
      </c>
      <c r="I210" s="3">
        <v>0.0</v>
      </c>
      <c r="J210" s="3">
        <v>0.0</v>
      </c>
      <c r="K210" s="3">
        <v>-3.0</v>
      </c>
      <c r="L210" s="3">
        <v>0.0</v>
      </c>
      <c r="M210" s="3">
        <v>42.0</v>
      </c>
      <c r="N210" s="3">
        <v>687.0</v>
      </c>
      <c r="O210" s="3">
        <v>2.0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0.0</v>
      </c>
      <c r="W210" s="3">
        <v>0.0</v>
      </c>
      <c r="X210" s="4">
        <f t="shared" si="1"/>
        <v>122.4</v>
      </c>
      <c r="Y210" s="4">
        <f t="shared" si="2"/>
        <v>7.2</v>
      </c>
    </row>
    <row r="211">
      <c r="A211" s="1" t="s">
        <v>391</v>
      </c>
      <c r="B211" s="1" t="s">
        <v>68</v>
      </c>
      <c r="C211" s="1" t="s">
        <v>94</v>
      </c>
      <c r="D211" s="2" t="s">
        <v>32</v>
      </c>
      <c r="E211" s="2" t="s">
        <v>28</v>
      </c>
      <c r="F211" s="3">
        <v>25.0</v>
      </c>
      <c r="G211" s="3">
        <v>12.0</v>
      </c>
      <c r="H211" s="3">
        <v>0.0</v>
      </c>
      <c r="I211" s="3">
        <v>0.0</v>
      </c>
      <c r="J211" s="3">
        <v>0.0</v>
      </c>
      <c r="K211" s="3">
        <v>1.0</v>
      </c>
      <c r="L211" s="3">
        <v>0.0</v>
      </c>
      <c r="M211" s="3">
        <v>67.0</v>
      </c>
      <c r="N211" s="3">
        <v>709.0</v>
      </c>
      <c r="O211" s="3">
        <v>3.0</v>
      </c>
      <c r="P211" s="3">
        <v>1.0</v>
      </c>
      <c r="Q211" s="3">
        <v>0.0</v>
      </c>
      <c r="R211" s="3">
        <v>0.0</v>
      </c>
      <c r="S211" s="3">
        <v>0.0</v>
      </c>
      <c r="T211" s="3">
        <v>0.0</v>
      </c>
      <c r="U211" s="3">
        <v>0.0</v>
      </c>
      <c r="V211" s="3">
        <v>0.0</v>
      </c>
      <c r="W211" s="3">
        <v>0.0</v>
      </c>
      <c r="X211" s="4">
        <f t="shared" si="1"/>
        <v>154</v>
      </c>
      <c r="Y211" s="4">
        <f t="shared" si="2"/>
        <v>12.83333333</v>
      </c>
    </row>
    <row r="212">
      <c r="A212" s="1" t="s">
        <v>392</v>
      </c>
      <c r="B212" s="1" t="s">
        <v>79</v>
      </c>
      <c r="C212" s="1" t="s">
        <v>79</v>
      </c>
      <c r="D212" s="2" t="s">
        <v>174</v>
      </c>
      <c r="E212" s="2" t="s">
        <v>28</v>
      </c>
      <c r="F212" s="3">
        <v>32.0</v>
      </c>
      <c r="G212" s="3">
        <v>13.0</v>
      </c>
      <c r="H212" s="3">
        <v>0.0</v>
      </c>
      <c r="I212" s="3">
        <v>0.0</v>
      </c>
      <c r="J212" s="3">
        <v>0.0</v>
      </c>
      <c r="K212" s="3">
        <v>5.0</v>
      </c>
      <c r="L212" s="3">
        <v>0.0</v>
      </c>
      <c r="M212" s="3">
        <v>27.0</v>
      </c>
      <c r="N212" s="3">
        <v>387.0</v>
      </c>
      <c r="O212" s="3">
        <v>4.0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0.0</v>
      </c>
      <c r="V212" s="3">
        <v>0.0</v>
      </c>
      <c r="W212" s="3">
        <v>0.0</v>
      </c>
      <c r="X212" s="4">
        <f t="shared" si="1"/>
        <v>90.2</v>
      </c>
      <c r="Y212" s="4">
        <f t="shared" si="2"/>
        <v>6.938461538</v>
      </c>
    </row>
    <row r="213">
      <c r="A213" s="1" t="s">
        <v>393</v>
      </c>
      <c r="B213" s="1" t="s">
        <v>75</v>
      </c>
      <c r="C213" s="1" t="s">
        <v>38</v>
      </c>
      <c r="D213" s="2" t="s">
        <v>164</v>
      </c>
      <c r="E213" s="2" t="s">
        <v>28</v>
      </c>
      <c r="F213" s="3">
        <v>32.0</v>
      </c>
      <c r="G213" s="3">
        <v>16.0</v>
      </c>
      <c r="H213" s="3">
        <v>0.0</v>
      </c>
      <c r="I213" s="3">
        <v>0.0</v>
      </c>
      <c r="J213" s="3">
        <v>0.0</v>
      </c>
      <c r="K213" s="3">
        <v>0.0</v>
      </c>
      <c r="L213" s="3">
        <v>0.0</v>
      </c>
      <c r="M213" s="3">
        <v>46.0</v>
      </c>
      <c r="N213" s="3">
        <v>529.0</v>
      </c>
      <c r="O213" s="3">
        <v>3.0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0.0</v>
      </c>
      <c r="V213" s="3">
        <v>0.0</v>
      </c>
      <c r="W213" s="3">
        <v>0.0</v>
      </c>
      <c r="X213" s="4">
        <f t="shared" si="1"/>
        <v>116.9</v>
      </c>
      <c r="Y213" s="4">
        <f t="shared" si="2"/>
        <v>7.30625</v>
      </c>
    </row>
    <row r="214">
      <c r="A214" s="1" t="s">
        <v>394</v>
      </c>
      <c r="B214" s="1" t="s">
        <v>79</v>
      </c>
      <c r="C214" s="1" t="s">
        <v>166</v>
      </c>
      <c r="D214" s="2" t="s">
        <v>35</v>
      </c>
      <c r="E214" s="2" t="s">
        <v>112</v>
      </c>
      <c r="F214" s="3">
        <v>38.0</v>
      </c>
      <c r="G214" s="3">
        <v>17.0</v>
      </c>
      <c r="H214" s="3">
        <v>0.0</v>
      </c>
      <c r="I214" s="3">
        <v>0.0</v>
      </c>
      <c r="J214" s="3">
        <v>0.0</v>
      </c>
      <c r="K214" s="3">
        <v>0.0</v>
      </c>
      <c r="L214" s="3">
        <v>0.0</v>
      </c>
      <c r="M214" s="3">
        <v>0.0</v>
      </c>
      <c r="N214" s="3">
        <v>0.0</v>
      </c>
      <c r="O214" s="3">
        <v>0.0</v>
      </c>
      <c r="P214" s="3">
        <v>0.0</v>
      </c>
      <c r="Q214" s="3">
        <v>0.0</v>
      </c>
      <c r="R214" s="3">
        <v>37.0</v>
      </c>
      <c r="S214" s="3">
        <v>18.0</v>
      </c>
      <c r="T214" s="3">
        <v>6.0</v>
      </c>
      <c r="U214" s="3">
        <v>1.0</v>
      </c>
      <c r="V214" s="3">
        <v>0.0</v>
      </c>
      <c r="W214" s="3">
        <v>4.0</v>
      </c>
      <c r="X214" s="4">
        <f t="shared" si="1"/>
        <v>116</v>
      </c>
      <c r="Y214" s="4">
        <f t="shared" si="2"/>
        <v>6.823529412</v>
      </c>
    </row>
    <row r="215">
      <c r="A215" s="1" t="s">
        <v>395</v>
      </c>
      <c r="B215" s="1" t="s">
        <v>68</v>
      </c>
      <c r="C215" s="1" t="s">
        <v>327</v>
      </c>
      <c r="D215" s="2" t="s">
        <v>207</v>
      </c>
      <c r="E215" s="2" t="s">
        <v>36</v>
      </c>
      <c r="F215" s="3">
        <v>27.0</v>
      </c>
      <c r="G215" s="3">
        <v>17.0</v>
      </c>
      <c r="H215" s="3">
        <v>0.0</v>
      </c>
      <c r="I215" s="3">
        <v>0.0</v>
      </c>
      <c r="J215" s="3">
        <v>0.0</v>
      </c>
      <c r="K215" s="3">
        <v>220.0</v>
      </c>
      <c r="L215" s="3">
        <v>1.0</v>
      </c>
      <c r="M215" s="3">
        <v>20.0</v>
      </c>
      <c r="N215" s="3">
        <v>118.0</v>
      </c>
      <c r="O215" s="3">
        <v>0.0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0.0</v>
      </c>
      <c r="V215" s="3">
        <v>0.0</v>
      </c>
      <c r="W215" s="3">
        <v>0.0</v>
      </c>
      <c r="X215" s="4">
        <f t="shared" si="1"/>
        <v>59.8</v>
      </c>
      <c r="Y215" s="4">
        <f t="shared" si="2"/>
        <v>3.517647059</v>
      </c>
    </row>
    <row r="216">
      <c r="A216" s="1" t="s">
        <v>396</v>
      </c>
      <c r="B216" s="1" t="s">
        <v>198</v>
      </c>
      <c r="C216" s="1" t="s">
        <v>198</v>
      </c>
      <c r="D216" s="2" t="s">
        <v>63</v>
      </c>
      <c r="E216" s="2" t="s">
        <v>112</v>
      </c>
      <c r="F216" s="3">
        <v>28.0</v>
      </c>
      <c r="G216" s="3">
        <v>17.0</v>
      </c>
      <c r="H216" s="3">
        <v>0.0</v>
      </c>
      <c r="I216" s="3">
        <v>0.0</v>
      </c>
      <c r="J216" s="3">
        <v>0.0</v>
      </c>
      <c r="K216" s="3">
        <v>0.0</v>
      </c>
      <c r="L216" s="3">
        <v>0.0</v>
      </c>
      <c r="M216" s="3">
        <v>0.0</v>
      </c>
      <c r="N216" s="3">
        <v>0.0</v>
      </c>
      <c r="O216" s="3">
        <v>0.0</v>
      </c>
      <c r="P216" s="3">
        <v>0.0</v>
      </c>
      <c r="Q216" s="3">
        <v>0.0</v>
      </c>
      <c r="R216" s="3">
        <v>31.0</v>
      </c>
      <c r="S216" s="3">
        <v>17.0</v>
      </c>
      <c r="T216" s="3">
        <v>4.0</v>
      </c>
      <c r="U216" s="3">
        <v>7.0</v>
      </c>
      <c r="V216" s="3">
        <v>0.0</v>
      </c>
      <c r="W216" s="3">
        <v>2.0</v>
      </c>
      <c r="X216" s="4">
        <f t="shared" si="1"/>
        <v>131</v>
      </c>
      <c r="Y216" s="4">
        <f t="shared" si="2"/>
        <v>7.705882353</v>
      </c>
    </row>
    <row r="217">
      <c r="A217" s="1" t="s">
        <v>397</v>
      </c>
      <c r="B217" s="1" t="s">
        <v>85</v>
      </c>
      <c r="C217" s="1" t="s">
        <v>257</v>
      </c>
      <c r="D217" s="2" t="s">
        <v>32</v>
      </c>
      <c r="E217" s="2" t="s">
        <v>112</v>
      </c>
      <c r="F217" s="3">
        <v>38.0</v>
      </c>
      <c r="G217" s="3">
        <v>13.0</v>
      </c>
      <c r="H217" s="3">
        <v>0.0</v>
      </c>
      <c r="I217" s="3">
        <v>0.0</v>
      </c>
      <c r="J217" s="3">
        <v>0.0</v>
      </c>
      <c r="K217" s="3">
        <v>0.0</v>
      </c>
      <c r="L217" s="3">
        <v>0.0</v>
      </c>
      <c r="M217" s="3">
        <v>0.0</v>
      </c>
      <c r="N217" s="3">
        <v>0.0</v>
      </c>
      <c r="O217" s="3">
        <v>0.0</v>
      </c>
      <c r="P217" s="3">
        <v>0.0</v>
      </c>
      <c r="Q217" s="3">
        <v>0.0</v>
      </c>
      <c r="R217" s="3">
        <v>17.0</v>
      </c>
      <c r="S217" s="3">
        <v>11.0</v>
      </c>
      <c r="T217" s="3">
        <v>6.0</v>
      </c>
      <c r="U217" s="3">
        <v>5.0</v>
      </c>
      <c r="V217" s="3">
        <v>0.0</v>
      </c>
      <c r="W217" s="3">
        <v>3.0</v>
      </c>
      <c r="X217" s="4">
        <f t="shared" si="1"/>
        <v>96</v>
      </c>
      <c r="Y217" s="4">
        <f t="shared" si="2"/>
        <v>7.384615385</v>
      </c>
    </row>
    <row r="218">
      <c r="A218" s="1" t="s">
        <v>398</v>
      </c>
      <c r="B218" s="1" t="s">
        <v>110</v>
      </c>
      <c r="C218" s="1" t="s">
        <v>46</v>
      </c>
      <c r="D218" s="2" t="s">
        <v>54</v>
      </c>
      <c r="E218" s="2" t="s">
        <v>39</v>
      </c>
      <c r="F218" s="3">
        <v>37.0</v>
      </c>
      <c r="G218" s="3">
        <v>12.0</v>
      </c>
      <c r="H218" s="3">
        <v>3057.0</v>
      </c>
      <c r="I218" s="3">
        <v>14.0</v>
      </c>
      <c r="J218" s="3">
        <v>13.0</v>
      </c>
      <c r="K218" s="3">
        <v>70.0</v>
      </c>
      <c r="L218" s="3">
        <v>1.0</v>
      </c>
      <c r="M218" s="3">
        <v>0.0</v>
      </c>
      <c r="N218" s="3">
        <v>0.0</v>
      </c>
      <c r="O218" s="3">
        <v>0.0</v>
      </c>
      <c r="P218" s="3">
        <v>15.0</v>
      </c>
      <c r="Q218" s="3">
        <v>0.0</v>
      </c>
      <c r="R218" s="3">
        <v>0.0</v>
      </c>
      <c r="S218" s="3">
        <v>0.0</v>
      </c>
      <c r="T218" s="3">
        <v>0.0</v>
      </c>
      <c r="U218" s="3">
        <v>0.0</v>
      </c>
      <c r="V218" s="3">
        <v>0.0</v>
      </c>
      <c r="W218" s="3">
        <v>0.0</v>
      </c>
      <c r="X218" s="4">
        <f t="shared" si="1"/>
        <v>135.28</v>
      </c>
      <c r="Y218" s="4">
        <f t="shared" si="2"/>
        <v>11.27333333</v>
      </c>
    </row>
    <row r="219">
      <c r="A219" s="1" t="s">
        <v>399</v>
      </c>
      <c r="B219" s="1" t="s">
        <v>68</v>
      </c>
      <c r="C219" s="1" t="s">
        <v>31</v>
      </c>
      <c r="D219" s="2" t="s">
        <v>63</v>
      </c>
      <c r="E219" s="2" t="s">
        <v>39</v>
      </c>
      <c r="F219" s="3">
        <v>34.0</v>
      </c>
      <c r="G219" s="3">
        <v>9.0</v>
      </c>
      <c r="H219" s="3">
        <v>2087.0</v>
      </c>
      <c r="I219" s="3">
        <v>10.0</v>
      </c>
      <c r="J219" s="3">
        <v>8.0</v>
      </c>
      <c r="K219" s="3">
        <v>9.0</v>
      </c>
      <c r="L219" s="3">
        <v>1.0</v>
      </c>
      <c r="M219" s="3">
        <v>0.0</v>
      </c>
      <c r="N219" s="3">
        <v>0.0</v>
      </c>
      <c r="O219" s="3">
        <v>0.0</v>
      </c>
      <c r="P219" s="3">
        <v>5.0</v>
      </c>
      <c r="Q219" s="3">
        <v>0.0</v>
      </c>
      <c r="R219" s="3">
        <v>0.0</v>
      </c>
      <c r="S219" s="3">
        <v>0.0</v>
      </c>
      <c r="T219" s="3">
        <v>0.0</v>
      </c>
      <c r="U219" s="3">
        <v>0.0</v>
      </c>
      <c r="V219" s="3">
        <v>0.0</v>
      </c>
      <c r="W219" s="3">
        <v>0.0</v>
      </c>
      <c r="X219" s="4">
        <f t="shared" si="1"/>
        <v>104.38</v>
      </c>
      <c r="Y219" s="4">
        <f t="shared" si="2"/>
        <v>11.59777778</v>
      </c>
    </row>
    <row r="220">
      <c r="A220" s="1" t="s">
        <v>400</v>
      </c>
      <c r="B220" s="1" t="s">
        <v>31</v>
      </c>
      <c r="C220" s="1" t="s">
        <v>31</v>
      </c>
      <c r="D220" s="2" t="s">
        <v>172</v>
      </c>
      <c r="E220" s="2" t="s">
        <v>28</v>
      </c>
      <c r="F220" s="3">
        <v>24.0</v>
      </c>
      <c r="G220" s="3">
        <v>8.0</v>
      </c>
      <c r="H220" s="3">
        <v>0.0</v>
      </c>
      <c r="I220" s="3">
        <v>0.0</v>
      </c>
      <c r="J220" s="3">
        <v>0.0</v>
      </c>
      <c r="K220" s="3">
        <v>31.0</v>
      </c>
      <c r="L220" s="3">
        <v>2.0</v>
      </c>
      <c r="M220" s="3">
        <v>25.0</v>
      </c>
      <c r="N220" s="3">
        <v>297.0</v>
      </c>
      <c r="O220" s="3">
        <v>4.0</v>
      </c>
      <c r="P220" s="3">
        <v>1.0</v>
      </c>
      <c r="Q220" s="3">
        <v>0.0</v>
      </c>
      <c r="R220" s="3">
        <v>0.0</v>
      </c>
      <c r="S220" s="3">
        <v>0.0</v>
      </c>
      <c r="T220" s="3">
        <v>0.0</v>
      </c>
      <c r="U220" s="3">
        <v>0.0</v>
      </c>
      <c r="V220" s="3">
        <v>0.0</v>
      </c>
      <c r="W220" s="3">
        <v>0.0</v>
      </c>
      <c r="X220" s="4">
        <f t="shared" si="1"/>
        <v>91.8</v>
      </c>
      <c r="Y220" s="4">
        <f t="shared" si="2"/>
        <v>11.475</v>
      </c>
    </row>
    <row r="221">
      <c r="A221" s="1" t="s">
        <v>401</v>
      </c>
      <c r="B221" s="1" t="s">
        <v>262</v>
      </c>
      <c r="C221" s="1" t="s">
        <v>262</v>
      </c>
      <c r="D221" s="2" t="s">
        <v>50</v>
      </c>
      <c r="E221" s="2" t="s">
        <v>36</v>
      </c>
      <c r="F221" s="3">
        <v>29.0</v>
      </c>
      <c r="G221" s="3">
        <v>10.0</v>
      </c>
      <c r="H221" s="3">
        <v>0.0</v>
      </c>
      <c r="I221" s="3">
        <v>0.0</v>
      </c>
      <c r="J221" s="3">
        <v>0.0</v>
      </c>
      <c r="K221" s="3">
        <v>318.0</v>
      </c>
      <c r="L221" s="3">
        <v>2.0</v>
      </c>
      <c r="M221" s="3">
        <v>25.0</v>
      </c>
      <c r="N221" s="3">
        <v>223.0</v>
      </c>
      <c r="O221" s="3">
        <v>0.0</v>
      </c>
      <c r="P221" s="3">
        <v>5.0</v>
      </c>
      <c r="Q221" s="3">
        <v>0.0</v>
      </c>
      <c r="R221" s="3">
        <v>0.0</v>
      </c>
      <c r="S221" s="3">
        <v>0.0</v>
      </c>
      <c r="T221" s="3">
        <v>0.0</v>
      </c>
      <c r="U221" s="3">
        <v>0.0</v>
      </c>
      <c r="V221" s="3">
        <v>0.0</v>
      </c>
      <c r="W221" s="3">
        <v>0.0</v>
      </c>
      <c r="X221" s="4">
        <f t="shared" si="1"/>
        <v>81.1</v>
      </c>
      <c r="Y221" s="4">
        <f t="shared" si="2"/>
        <v>8.11</v>
      </c>
    </row>
    <row r="222">
      <c r="A222" s="1" t="s">
        <v>402</v>
      </c>
      <c r="B222" s="1" t="s">
        <v>155</v>
      </c>
      <c r="C222" s="1" t="s">
        <v>115</v>
      </c>
      <c r="D222" s="2" t="s">
        <v>77</v>
      </c>
      <c r="E222" s="2" t="s">
        <v>112</v>
      </c>
      <c r="F222" s="3">
        <v>27.0</v>
      </c>
      <c r="G222" s="3">
        <v>13.0</v>
      </c>
      <c r="H222" s="3">
        <v>0.0</v>
      </c>
      <c r="I222" s="3">
        <v>0.0</v>
      </c>
      <c r="J222" s="3">
        <v>0.0</v>
      </c>
      <c r="K222" s="3">
        <v>0.0</v>
      </c>
      <c r="L222" s="3">
        <v>0.0</v>
      </c>
      <c r="M222" s="3">
        <v>0.0</v>
      </c>
      <c r="N222" s="3">
        <v>0.0</v>
      </c>
      <c r="O222" s="3">
        <v>0.0</v>
      </c>
      <c r="P222" s="3">
        <v>0.0</v>
      </c>
      <c r="Q222" s="3">
        <v>0.0</v>
      </c>
      <c r="R222" s="3">
        <v>33.0</v>
      </c>
      <c r="S222" s="3">
        <v>13.0</v>
      </c>
      <c r="T222" s="3">
        <v>9.0</v>
      </c>
      <c r="U222" s="3">
        <v>2.0</v>
      </c>
      <c r="V222" s="3">
        <v>0.0</v>
      </c>
      <c r="W222" s="3">
        <v>4.0</v>
      </c>
      <c r="X222" s="4">
        <f t="shared" si="1"/>
        <v>114</v>
      </c>
      <c r="Y222" s="4">
        <f t="shared" si="2"/>
        <v>8.769230769</v>
      </c>
    </row>
    <row r="223">
      <c r="A223" s="1" t="s">
        <v>403</v>
      </c>
      <c r="B223" s="1" t="s">
        <v>68</v>
      </c>
      <c r="C223" s="1" t="s">
        <v>114</v>
      </c>
      <c r="D223" s="2" t="s">
        <v>116</v>
      </c>
      <c r="E223" s="2" t="s">
        <v>36</v>
      </c>
      <c r="F223" s="3">
        <v>23.0</v>
      </c>
      <c r="G223" s="3">
        <v>16.0</v>
      </c>
      <c r="H223" s="3">
        <v>0.0</v>
      </c>
      <c r="I223" s="3">
        <v>0.0</v>
      </c>
      <c r="J223" s="3">
        <v>0.0</v>
      </c>
      <c r="K223" s="3">
        <v>402.0</v>
      </c>
      <c r="L223" s="3">
        <v>3.0</v>
      </c>
      <c r="M223" s="3">
        <v>41.0</v>
      </c>
      <c r="N223" s="3">
        <v>288.0</v>
      </c>
      <c r="O223" s="3">
        <v>0.0</v>
      </c>
      <c r="P223" s="3">
        <v>2.0</v>
      </c>
      <c r="Q223" s="3">
        <v>0.0</v>
      </c>
      <c r="R223" s="3">
        <v>0.0</v>
      </c>
      <c r="S223" s="3">
        <v>0.0</v>
      </c>
      <c r="T223" s="3">
        <v>0.0</v>
      </c>
      <c r="U223" s="3">
        <v>0.0</v>
      </c>
      <c r="V223" s="3">
        <v>0.0</v>
      </c>
      <c r="W223" s="3">
        <v>0.0</v>
      </c>
      <c r="X223" s="4">
        <f t="shared" si="1"/>
        <v>124</v>
      </c>
      <c r="Y223" s="4">
        <f t="shared" si="2"/>
        <v>7.75</v>
      </c>
    </row>
    <row r="224">
      <c r="A224" s="1" t="s">
        <v>404</v>
      </c>
      <c r="B224" s="1" t="s">
        <v>31</v>
      </c>
      <c r="C224" s="1" t="s">
        <v>405</v>
      </c>
      <c r="D224" s="2" t="s">
        <v>118</v>
      </c>
      <c r="E224" s="2" t="s">
        <v>28</v>
      </c>
      <c r="F224" s="3">
        <v>26.0</v>
      </c>
      <c r="G224" s="3">
        <v>14.0</v>
      </c>
      <c r="H224" s="3">
        <v>0.0</v>
      </c>
      <c r="I224" s="3">
        <v>0.0</v>
      </c>
      <c r="J224" s="3">
        <v>0.0</v>
      </c>
      <c r="K224" s="3">
        <v>0.0</v>
      </c>
      <c r="L224" s="3">
        <v>0.0</v>
      </c>
      <c r="M224" s="3">
        <v>39.0</v>
      </c>
      <c r="N224" s="3">
        <v>424.0</v>
      </c>
      <c r="O224" s="3">
        <v>4.0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0.0</v>
      </c>
      <c r="V224" s="3">
        <v>0.0</v>
      </c>
      <c r="W224" s="3">
        <v>0.0</v>
      </c>
      <c r="X224" s="4">
        <f t="shared" si="1"/>
        <v>105.4</v>
      </c>
      <c r="Y224" s="4">
        <f t="shared" si="2"/>
        <v>7.528571429</v>
      </c>
    </row>
    <row r="225">
      <c r="A225" s="1" t="s">
        <v>406</v>
      </c>
      <c r="B225" s="1" t="s">
        <v>75</v>
      </c>
      <c r="C225" s="1" t="s">
        <v>76</v>
      </c>
      <c r="D225" s="2" t="s">
        <v>54</v>
      </c>
      <c r="E225" s="2" t="s">
        <v>28</v>
      </c>
      <c r="F225" s="3">
        <v>25.0</v>
      </c>
      <c r="G225" s="3">
        <v>16.0</v>
      </c>
      <c r="H225" s="3">
        <v>0.0</v>
      </c>
      <c r="I225" s="3">
        <v>0.0</v>
      </c>
      <c r="J225" s="3">
        <v>0.0</v>
      </c>
      <c r="K225" s="3">
        <v>30.0</v>
      </c>
      <c r="L225" s="3">
        <v>0.0</v>
      </c>
      <c r="M225" s="3">
        <v>99.0</v>
      </c>
      <c r="N225" s="3">
        <v>925.0</v>
      </c>
      <c r="O225" s="3">
        <v>4.0</v>
      </c>
      <c r="P225" s="3">
        <v>2.0</v>
      </c>
      <c r="Q225" s="3">
        <v>0.0</v>
      </c>
      <c r="R225" s="3">
        <v>0.0</v>
      </c>
      <c r="S225" s="3">
        <v>0.0</v>
      </c>
      <c r="T225" s="3">
        <v>0.0</v>
      </c>
      <c r="U225" s="3">
        <v>0.0</v>
      </c>
      <c r="V225" s="3">
        <v>0.0</v>
      </c>
      <c r="W225" s="3">
        <v>0.0</v>
      </c>
      <c r="X225" s="4">
        <f t="shared" si="1"/>
        <v>214.5</v>
      </c>
      <c r="Y225" s="4">
        <f t="shared" si="2"/>
        <v>13.40625</v>
      </c>
    </row>
    <row r="226">
      <c r="A226" s="1" t="s">
        <v>407</v>
      </c>
      <c r="B226" s="1" t="s">
        <v>68</v>
      </c>
      <c r="C226" s="1" t="s">
        <v>53</v>
      </c>
      <c r="D226" s="2" t="s">
        <v>50</v>
      </c>
      <c r="E226" s="2" t="s">
        <v>36</v>
      </c>
      <c r="F226" s="3">
        <v>27.0</v>
      </c>
      <c r="G226" s="3">
        <v>9.0</v>
      </c>
      <c r="H226" s="3">
        <v>0.0</v>
      </c>
      <c r="I226" s="3">
        <v>0.0</v>
      </c>
      <c r="J226" s="3">
        <v>0.0</v>
      </c>
      <c r="K226" s="3">
        <v>102.0</v>
      </c>
      <c r="L226" s="3">
        <v>0.0</v>
      </c>
      <c r="M226" s="3">
        <v>9.0</v>
      </c>
      <c r="N226" s="3">
        <v>96.0</v>
      </c>
      <c r="O226" s="3">
        <v>0.0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0.0</v>
      </c>
      <c r="V226" s="3">
        <v>0.0</v>
      </c>
      <c r="W226" s="3">
        <v>0.0</v>
      </c>
      <c r="X226" s="4">
        <f t="shared" si="1"/>
        <v>28.8</v>
      </c>
      <c r="Y226" s="4">
        <f t="shared" si="2"/>
        <v>3.2</v>
      </c>
    </row>
    <row r="227">
      <c r="A227" s="1" t="s">
        <v>408</v>
      </c>
      <c r="B227" s="1" t="s">
        <v>79</v>
      </c>
      <c r="C227" s="1" t="s">
        <v>163</v>
      </c>
      <c r="D227" s="2" t="s">
        <v>129</v>
      </c>
      <c r="E227" s="2" t="s">
        <v>28</v>
      </c>
      <c r="F227" s="3">
        <v>29.0</v>
      </c>
      <c r="G227" s="3">
        <v>15.0</v>
      </c>
      <c r="H227" s="3">
        <v>0.0</v>
      </c>
      <c r="I227" s="3">
        <v>0.0</v>
      </c>
      <c r="J227" s="3">
        <v>0.0</v>
      </c>
      <c r="K227" s="3">
        <v>0.0</v>
      </c>
      <c r="L227" s="3">
        <v>0.0</v>
      </c>
      <c r="M227" s="3">
        <v>77.0</v>
      </c>
      <c r="N227" s="3">
        <v>1124.0</v>
      </c>
      <c r="O227" s="3">
        <v>6.0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0.0</v>
      </c>
      <c r="V227" s="3">
        <v>0.0</v>
      </c>
      <c r="W227" s="3">
        <v>0.0</v>
      </c>
      <c r="X227" s="4">
        <f t="shared" si="1"/>
        <v>225.4</v>
      </c>
      <c r="Y227" s="4">
        <f t="shared" si="2"/>
        <v>15.02666667</v>
      </c>
    </row>
    <row r="228">
      <c r="A228" s="1" t="s">
        <v>409</v>
      </c>
      <c r="B228" s="1" t="s">
        <v>155</v>
      </c>
      <c r="C228" s="1" t="s">
        <v>62</v>
      </c>
      <c r="D228" s="2" t="s">
        <v>152</v>
      </c>
      <c r="E228" s="2" t="s">
        <v>51</v>
      </c>
      <c r="F228" s="3">
        <v>27.0</v>
      </c>
      <c r="G228" s="3">
        <v>17.0</v>
      </c>
      <c r="H228" s="3">
        <v>0.0</v>
      </c>
      <c r="I228" s="3">
        <v>0.0</v>
      </c>
      <c r="J228" s="3">
        <v>0.0</v>
      </c>
      <c r="K228" s="3">
        <v>0.0</v>
      </c>
      <c r="L228" s="3">
        <v>0.0</v>
      </c>
      <c r="M228" s="3">
        <v>32.0</v>
      </c>
      <c r="N228" s="3">
        <v>362.0</v>
      </c>
      <c r="O228" s="3">
        <v>5.0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0.0</v>
      </c>
      <c r="V228" s="3">
        <v>0.0</v>
      </c>
      <c r="W228" s="3">
        <v>0.0</v>
      </c>
      <c r="X228" s="4">
        <f t="shared" si="1"/>
        <v>98.2</v>
      </c>
      <c r="Y228" s="4">
        <f t="shared" si="2"/>
        <v>5.776470588</v>
      </c>
    </row>
    <row r="229">
      <c r="A229" s="1" t="s">
        <v>410</v>
      </c>
      <c r="B229" s="1" t="s">
        <v>30</v>
      </c>
      <c r="C229" s="1" t="s">
        <v>227</v>
      </c>
      <c r="D229" s="2" t="s">
        <v>89</v>
      </c>
      <c r="E229" s="2" t="s">
        <v>28</v>
      </c>
      <c r="F229" s="3">
        <v>28.0</v>
      </c>
      <c r="G229" s="3">
        <v>13.0</v>
      </c>
      <c r="H229" s="3">
        <v>0.0</v>
      </c>
      <c r="I229" s="3">
        <v>0.0</v>
      </c>
      <c r="J229" s="3">
        <v>0.0</v>
      </c>
      <c r="K229" s="3">
        <v>0.0</v>
      </c>
      <c r="L229" s="3">
        <v>0.0</v>
      </c>
      <c r="M229" s="3">
        <v>63.0</v>
      </c>
      <c r="N229" s="3">
        <v>895.0</v>
      </c>
      <c r="O229" s="3">
        <v>4.0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  <c r="X229" s="4">
        <f t="shared" si="1"/>
        <v>176.5</v>
      </c>
      <c r="Y229" s="4">
        <f t="shared" si="2"/>
        <v>13.57692308</v>
      </c>
    </row>
    <row r="230">
      <c r="A230" s="1" t="s">
        <v>411</v>
      </c>
      <c r="B230" s="1" t="s">
        <v>110</v>
      </c>
      <c r="C230" s="1" t="s">
        <v>62</v>
      </c>
      <c r="D230" s="2" t="s">
        <v>27</v>
      </c>
      <c r="E230" s="2" t="s">
        <v>36</v>
      </c>
      <c r="F230" s="3">
        <v>25.0</v>
      </c>
      <c r="G230" s="3">
        <v>17.0</v>
      </c>
      <c r="H230" s="3">
        <v>0.0</v>
      </c>
      <c r="I230" s="3">
        <v>0.0</v>
      </c>
      <c r="J230" s="3">
        <v>0.0</v>
      </c>
      <c r="K230" s="3">
        <v>1269.0</v>
      </c>
      <c r="L230" s="3">
        <v>11.0</v>
      </c>
      <c r="M230" s="3">
        <v>20.0</v>
      </c>
      <c r="N230" s="3">
        <v>78.0</v>
      </c>
      <c r="O230" s="3">
        <v>0.0</v>
      </c>
      <c r="P230" s="3">
        <v>2.0</v>
      </c>
      <c r="Q230" s="3">
        <v>0.0</v>
      </c>
      <c r="R230" s="3">
        <v>0.0</v>
      </c>
      <c r="S230" s="3">
        <v>0.0</v>
      </c>
      <c r="T230" s="3">
        <v>0.0</v>
      </c>
      <c r="U230" s="3">
        <v>0.0</v>
      </c>
      <c r="V230" s="3">
        <v>0.0</v>
      </c>
      <c r="W230" s="3">
        <v>0.0</v>
      </c>
      <c r="X230" s="4">
        <f t="shared" si="1"/>
        <v>216.7</v>
      </c>
      <c r="Y230" s="4">
        <f t="shared" si="2"/>
        <v>12.74705882</v>
      </c>
    </row>
    <row r="231">
      <c r="A231" s="5" t="s">
        <v>412</v>
      </c>
      <c r="B231" s="1" t="s">
        <v>269</v>
      </c>
      <c r="C231" s="1" t="s">
        <v>413</v>
      </c>
      <c r="D231" s="2" t="s">
        <v>54</v>
      </c>
      <c r="E231" s="2" t="s">
        <v>51</v>
      </c>
      <c r="F231" s="3">
        <v>29.0</v>
      </c>
      <c r="G231" s="3">
        <v>17.0</v>
      </c>
      <c r="H231" s="3">
        <v>0.0</v>
      </c>
      <c r="I231" s="3">
        <v>0.0</v>
      </c>
      <c r="J231" s="3">
        <v>0.0</v>
      </c>
      <c r="K231" s="3">
        <v>0.0</v>
      </c>
      <c r="L231" s="3">
        <v>0.0</v>
      </c>
      <c r="M231" s="3">
        <v>19.0</v>
      </c>
      <c r="N231" s="3">
        <v>189.0</v>
      </c>
      <c r="O231" s="3">
        <v>3.0</v>
      </c>
      <c r="P231" s="3">
        <v>1.0</v>
      </c>
      <c r="Q231" s="3">
        <v>0.0</v>
      </c>
      <c r="R231" s="3">
        <v>0.0</v>
      </c>
      <c r="S231" s="3">
        <v>0.0</v>
      </c>
      <c r="T231" s="3">
        <v>0.0</v>
      </c>
      <c r="U231" s="3">
        <v>0.0</v>
      </c>
      <c r="V231" s="3">
        <v>0.0</v>
      </c>
      <c r="W231" s="3">
        <v>0.0</v>
      </c>
      <c r="X231" s="4">
        <f t="shared" si="1"/>
        <v>53.9</v>
      </c>
      <c r="Y231" s="4">
        <f t="shared" si="2"/>
        <v>3.170588235</v>
      </c>
    </row>
    <row r="232">
      <c r="A232" s="1" t="s">
        <v>414</v>
      </c>
      <c r="B232" s="1" t="s">
        <v>97</v>
      </c>
      <c r="C232" s="1" t="s">
        <v>415</v>
      </c>
      <c r="D232" s="2" t="s">
        <v>137</v>
      </c>
      <c r="E232" s="2" t="s">
        <v>51</v>
      </c>
      <c r="F232" s="3">
        <v>30.0</v>
      </c>
      <c r="G232" s="3">
        <v>13.0</v>
      </c>
      <c r="H232" s="3">
        <v>0.0</v>
      </c>
      <c r="I232" s="3">
        <v>0.0</v>
      </c>
      <c r="J232" s="3">
        <v>0.0</v>
      </c>
      <c r="K232" s="3">
        <v>0.0</v>
      </c>
      <c r="L232" s="3">
        <v>0.0</v>
      </c>
      <c r="M232" s="3">
        <v>16.0</v>
      </c>
      <c r="N232" s="3">
        <v>150.0</v>
      </c>
      <c r="O232" s="3">
        <v>4.0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0.0</v>
      </c>
      <c r="V232" s="3">
        <v>0.0</v>
      </c>
      <c r="W232" s="3">
        <v>0.0</v>
      </c>
      <c r="X232" s="4">
        <f t="shared" si="1"/>
        <v>55</v>
      </c>
      <c r="Y232" s="4">
        <f t="shared" si="2"/>
        <v>4.230769231</v>
      </c>
    </row>
    <row r="233">
      <c r="A233" s="1" t="s">
        <v>416</v>
      </c>
      <c r="B233" s="1" t="s">
        <v>38</v>
      </c>
      <c r="C233" s="1" t="s">
        <v>69</v>
      </c>
      <c r="D233" s="2" t="s">
        <v>149</v>
      </c>
      <c r="E233" s="2" t="s">
        <v>36</v>
      </c>
      <c r="F233" s="3">
        <v>24.0</v>
      </c>
      <c r="G233" s="3">
        <v>17.0</v>
      </c>
      <c r="H233" s="3">
        <v>4.0</v>
      </c>
      <c r="I233" s="3">
        <v>0.0</v>
      </c>
      <c r="J233" s="3">
        <v>0.0</v>
      </c>
      <c r="K233" s="3">
        <v>1034.0</v>
      </c>
      <c r="L233" s="3">
        <v>7.0</v>
      </c>
      <c r="M233" s="3">
        <v>41.0</v>
      </c>
      <c r="N233" s="3">
        <v>229.0</v>
      </c>
      <c r="O233" s="3">
        <v>3.0</v>
      </c>
      <c r="P233" s="3">
        <v>3.0</v>
      </c>
      <c r="Q233" s="3">
        <v>0.0</v>
      </c>
      <c r="R233" s="3">
        <v>0.0</v>
      </c>
      <c r="S233" s="3">
        <v>0.0</v>
      </c>
      <c r="T233" s="3">
        <v>0.0</v>
      </c>
      <c r="U233" s="3">
        <v>0.0</v>
      </c>
      <c r="V233" s="3">
        <v>0.0</v>
      </c>
      <c r="W233" s="3">
        <v>0.0</v>
      </c>
      <c r="X233" s="4">
        <f t="shared" si="1"/>
        <v>221.46</v>
      </c>
      <c r="Y233" s="4">
        <f t="shared" si="2"/>
        <v>13.02705882</v>
      </c>
    </row>
    <row r="234">
      <c r="A234" s="5" t="s">
        <v>417</v>
      </c>
      <c r="B234" s="1" t="s">
        <v>418</v>
      </c>
      <c r="C234" s="1" t="s">
        <v>76</v>
      </c>
      <c r="D234" s="2" t="s">
        <v>203</v>
      </c>
      <c r="E234" s="2" t="s">
        <v>28</v>
      </c>
      <c r="F234" s="3">
        <v>29.0</v>
      </c>
      <c r="G234" s="3">
        <v>16.0</v>
      </c>
      <c r="H234" s="3">
        <v>0.0</v>
      </c>
      <c r="I234" s="3">
        <v>0.0</v>
      </c>
      <c r="J234" s="3">
        <v>0.0</v>
      </c>
      <c r="K234" s="3">
        <v>0.0</v>
      </c>
      <c r="L234" s="3">
        <v>0.0</v>
      </c>
      <c r="M234" s="3">
        <v>31.0</v>
      </c>
      <c r="N234" s="3">
        <v>362.0</v>
      </c>
      <c r="O234" s="3">
        <v>2.0</v>
      </c>
      <c r="P234" s="3">
        <v>2.0</v>
      </c>
      <c r="Q234" s="3">
        <v>0.0</v>
      </c>
      <c r="R234" s="3">
        <v>0.0</v>
      </c>
      <c r="S234" s="3">
        <v>0.0</v>
      </c>
      <c r="T234" s="3">
        <v>0.0</v>
      </c>
      <c r="U234" s="3">
        <v>0.0</v>
      </c>
      <c r="V234" s="3">
        <v>0.0</v>
      </c>
      <c r="W234" s="3">
        <v>0.0</v>
      </c>
      <c r="X234" s="4">
        <f t="shared" si="1"/>
        <v>75.2</v>
      </c>
      <c r="Y234" s="4">
        <f t="shared" si="2"/>
        <v>4.7</v>
      </c>
    </row>
    <row r="235">
      <c r="A235" s="1" t="s">
        <v>419</v>
      </c>
      <c r="B235" s="1" t="s">
        <v>31</v>
      </c>
      <c r="C235" s="1" t="s">
        <v>31</v>
      </c>
      <c r="D235" s="2" t="s">
        <v>70</v>
      </c>
      <c r="E235" s="2" t="s">
        <v>36</v>
      </c>
      <c r="F235" s="3">
        <v>27.0</v>
      </c>
      <c r="G235" s="3">
        <v>17.0</v>
      </c>
      <c r="H235" s="3">
        <v>0.0</v>
      </c>
      <c r="I235" s="3">
        <v>0.0</v>
      </c>
      <c r="J235" s="3">
        <v>0.0</v>
      </c>
      <c r="K235" s="3">
        <v>1525.0</v>
      </c>
      <c r="L235" s="3">
        <v>12.0</v>
      </c>
      <c r="M235" s="3">
        <v>27.0</v>
      </c>
      <c r="N235" s="3">
        <v>239.0</v>
      </c>
      <c r="O235" s="3">
        <v>1.0</v>
      </c>
      <c r="P235" s="3">
        <v>1.0</v>
      </c>
      <c r="Q235" s="3">
        <v>1.0</v>
      </c>
      <c r="R235" s="3">
        <v>0.0</v>
      </c>
      <c r="S235" s="3">
        <v>0.0</v>
      </c>
      <c r="T235" s="3">
        <v>0.0</v>
      </c>
      <c r="U235" s="3">
        <v>0.0</v>
      </c>
      <c r="V235" s="3">
        <v>0.0</v>
      </c>
      <c r="W235" s="3">
        <v>0.0</v>
      </c>
      <c r="X235" s="4">
        <f t="shared" si="1"/>
        <v>281.4</v>
      </c>
      <c r="Y235" s="4">
        <f t="shared" si="2"/>
        <v>16.55294118</v>
      </c>
    </row>
    <row r="236">
      <c r="A236" s="1" t="s">
        <v>420</v>
      </c>
      <c r="B236" s="1" t="s">
        <v>38</v>
      </c>
      <c r="C236" s="1" t="s">
        <v>121</v>
      </c>
      <c r="D236" s="2" t="s">
        <v>203</v>
      </c>
      <c r="E236" s="2" t="s">
        <v>112</v>
      </c>
      <c r="F236" s="3">
        <v>38.0</v>
      </c>
      <c r="G236" s="3">
        <v>17.0</v>
      </c>
      <c r="H236" s="3">
        <v>0.0</v>
      </c>
      <c r="I236" s="3">
        <v>0.0</v>
      </c>
      <c r="J236" s="3">
        <v>0.0</v>
      </c>
      <c r="K236" s="3">
        <v>0.0</v>
      </c>
      <c r="L236" s="3">
        <v>0.0</v>
      </c>
      <c r="M236" s="3">
        <v>0.0</v>
      </c>
      <c r="N236" s="3">
        <v>0.0</v>
      </c>
      <c r="O236" s="3">
        <v>0.0</v>
      </c>
      <c r="P236" s="3">
        <v>0.0</v>
      </c>
      <c r="Q236" s="3">
        <v>0.0</v>
      </c>
      <c r="R236" s="3">
        <v>32.0</v>
      </c>
      <c r="S236" s="3">
        <v>18.0</v>
      </c>
      <c r="T236" s="3">
        <v>10.0</v>
      </c>
      <c r="U236" s="3">
        <v>4.0</v>
      </c>
      <c r="V236" s="3">
        <v>0.0</v>
      </c>
      <c r="W236" s="3">
        <v>5.0</v>
      </c>
      <c r="X236" s="4">
        <f t="shared" si="1"/>
        <v>141</v>
      </c>
      <c r="Y236" s="4">
        <f t="shared" si="2"/>
        <v>8.294117647</v>
      </c>
    </row>
    <row r="237">
      <c r="A237" s="1" t="s">
        <v>421</v>
      </c>
      <c r="B237" s="1" t="s">
        <v>68</v>
      </c>
      <c r="C237" s="1" t="s">
        <v>97</v>
      </c>
      <c r="D237" s="2" t="s">
        <v>92</v>
      </c>
      <c r="E237" s="2" t="s">
        <v>28</v>
      </c>
      <c r="F237" s="3">
        <v>25.0</v>
      </c>
      <c r="G237" s="3">
        <v>17.0</v>
      </c>
      <c r="H237" s="3">
        <v>0.0</v>
      </c>
      <c r="I237" s="3">
        <v>0.0</v>
      </c>
      <c r="J237" s="3">
        <v>0.0</v>
      </c>
      <c r="K237" s="3">
        <v>0.0</v>
      </c>
      <c r="L237" s="3">
        <v>0.0</v>
      </c>
      <c r="M237" s="3">
        <v>25.0</v>
      </c>
      <c r="N237" s="3">
        <v>397.0</v>
      </c>
      <c r="O237" s="3">
        <v>3.0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0.0</v>
      </c>
      <c r="V237" s="3">
        <v>0.0</v>
      </c>
      <c r="W237" s="3">
        <v>0.0</v>
      </c>
      <c r="X237" s="4">
        <f t="shared" si="1"/>
        <v>82.7</v>
      </c>
      <c r="Y237" s="4">
        <f t="shared" si="2"/>
        <v>4.864705882</v>
      </c>
    </row>
    <row r="238">
      <c r="A238" s="1" t="s">
        <v>422</v>
      </c>
      <c r="B238" s="1" t="s">
        <v>69</v>
      </c>
      <c r="C238" s="1" t="s">
        <v>61</v>
      </c>
      <c r="D238" s="2" t="s">
        <v>104</v>
      </c>
      <c r="E238" s="2" t="s">
        <v>28</v>
      </c>
      <c r="F238" s="3">
        <v>23.0</v>
      </c>
      <c r="G238" s="3">
        <v>10.0</v>
      </c>
      <c r="H238" s="3">
        <v>0.0</v>
      </c>
      <c r="I238" s="3">
        <v>0.0</v>
      </c>
      <c r="J238" s="3">
        <v>0.0</v>
      </c>
      <c r="K238" s="3">
        <v>0.0</v>
      </c>
      <c r="L238" s="3">
        <v>0.0</v>
      </c>
      <c r="M238" s="3">
        <v>37.0</v>
      </c>
      <c r="N238" s="3">
        <v>481.0</v>
      </c>
      <c r="O238" s="3">
        <v>2.0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0.0</v>
      </c>
      <c r="V238" s="3">
        <v>0.0</v>
      </c>
      <c r="W238" s="3">
        <v>0.0</v>
      </c>
      <c r="X238" s="4">
        <f t="shared" si="1"/>
        <v>97.1</v>
      </c>
      <c r="Y238" s="4">
        <f t="shared" si="2"/>
        <v>9.71</v>
      </c>
    </row>
    <row r="239">
      <c r="A239" s="1" t="s">
        <v>423</v>
      </c>
      <c r="B239" s="1" t="s">
        <v>155</v>
      </c>
      <c r="C239" s="1" t="s">
        <v>161</v>
      </c>
      <c r="D239" s="2" t="s">
        <v>118</v>
      </c>
      <c r="E239" s="2" t="s">
        <v>28</v>
      </c>
      <c r="F239" s="3">
        <v>26.0</v>
      </c>
      <c r="G239" s="3">
        <v>16.0</v>
      </c>
      <c r="H239" s="3">
        <v>0.0</v>
      </c>
      <c r="I239" s="3">
        <v>0.0</v>
      </c>
      <c r="J239" s="3">
        <v>0.0</v>
      </c>
      <c r="K239" s="3">
        <v>0.0</v>
      </c>
      <c r="L239" s="3">
        <v>0.0</v>
      </c>
      <c r="M239" s="3">
        <v>43.0</v>
      </c>
      <c r="N239" s="3">
        <v>555.0</v>
      </c>
      <c r="O239" s="3">
        <v>3.0</v>
      </c>
      <c r="P239" s="3">
        <v>1.0</v>
      </c>
      <c r="Q239" s="3">
        <v>0.0</v>
      </c>
      <c r="R239" s="3">
        <v>0.0</v>
      </c>
      <c r="S239" s="3">
        <v>0.0</v>
      </c>
      <c r="T239" s="3">
        <v>0.0</v>
      </c>
      <c r="U239" s="3">
        <v>0.0</v>
      </c>
      <c r="V239" s="3">
        <v>0.0</v>
      </c>
      <c r="W239" s="3">
        <v>0.0</v>
      </c>
      <c r="X239" s="4">
        <f t="shared" si="1"/>
        <v>114.5</v>
      </c>
      <c r="Y239" s="4">
        <f t="shared" si="2"/>
        <v>7.15625</v>
      </c>
    </row>
    <row r="240">
      <c r="A240" s="1" t="s">
        <v>424</v>
      </c>
      <c r="B240" s="1" t="s">
        <v>72</v>
      </c>
      <c r="C240" s="1" t="s">
        <v>58</v>
      </c>
      <c r="D240" s="2" t="s">
        <v>174</v>
      </c>
      <c r="E240" s="2" t="s">
        <v>51</v>
      </c>
      <c r="F240" s="3">
        <v>25.0</v>
      </c>
      <c r="G240" s="3">
        <v>17.0</v>
      </c>
      <c r="H240" s="3">
        <v>0.0</v>
      </c>
      <c r="I240" s="3">
        <v>0.0</v>
      </c>
      <c r="J240" s="3">
        <v>0.0</v>
      </c>
      <c r="K240" s="3">
        <v>0.0</v>
      </c>
      <c r="L240" s="3">
        <v>0.0</v>
      </c>
      <c r="M240" s="3">
        <v>50.0</v>
      </c>
      <c r="N240" s="3">
        <v>486.0</v>
      </c>
      <c r="O240" s="3">
        <v>4.0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0.0</v>
      </c>
      <c r="V240" s="3">
        <v>0.0</v>
      </c>
      <c r="W240" s="3">
        <v>0.0</v>
      </c>
      <c r="X240" s="4">
        <f t="shared" si="1"/>
        <v>122.6</v>
      </c>
      <c r="Y240" s="4">
        <f t="shared" si="2"/>
        <v>7.211764706</v>
      </c>
    </row>
    <row r="241">
      <c r="A241" s="1" t="s">
        <v>425</v>
      </c>
      <c r="B241" s="1" t="s">
        <v>288</v>
      </c>
      <c r="C241" s="1" t="s">
        <v>210</v>
      </c>
      <c r="D241" s="2" t="s">
        <v>172</v>
      </c>
      <c r="E241" s="2" t="s">
        <v>51</v>
      </c>
      <c r="F241" s="3">
        <v>23.0</v>
      </c>
      <c r="G241" s="3">
        <v>17.0</v>
      </c>
      <c r="H241" s="3">
        <v>0.0</v>
      </c>
      <c r="I241" s="3">
        <v>0.0</v>
      </c>
      <c r="J241" s="3">
        <v>0.0</v>
      </c>
      <c r="K241" s="3">
        <v>1.0</v>
      </c>
      <c r="L241" s="3">
        <v>1.0</v>
      </c>
      <c r="M241" s="3">
        <v>28.0</v>
      </c>
      <c r="N241" s="3">
        <v>299.0</v>
      </c>
      <c r="O241" s="3">
        <v>1.0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0.0</v>
      </c>
      <c r="V241" s="3">
        <v>0.0</v>
      </c>
      <c r="W241" s="3">
        <v>0.0</v>
      </c>
      <c r="X241" s="4">
        <f t="shared" si="1"/>
        <v>70</v>
      </c>
      <c r="Y241" s="4">
        <f t="shared" si="2"/>
        <v>4.117647059</v>
      </c>
    </row>
    <row r="242">
      <c r="A242" s="1" t="s">
        <v>426</v>
      </c>
      <c r="B242" s="1" t="s">
        <v>114</v>
      </c>
      <c r="C242" s="1" t="s">
        <v>297</v>
      </c>
      <c r="D242" s="2" t="s">
        <v>223</v>
      </c>
      <c r="E242" s="2" t="s">
        <v>36</v>
      </c>
      <c r="F242" s="3">
        <v>26.0</v>
      </c>
      <c r="G242" s="3">
        <v>16.0</v>
      </c>
      <c r="H242" s="3">
        <v>0.0</v>
      </c>
      <c r="I242" s="3">
        <v>0.0</v>
      </c>
      <c r="J242" s="3">
        <v>0.0</v>
      </c>
      <c r="K242" s="3">
        <v>33.0</v>
      </c>
      <c r="L242" s="3">
        <v>1.0</v>
      </c>
      <c r="M242" s="3">
        <v>30.0</v>
      </c>
      <c r="N242" s="3">
        <v>241.0</v>
      </c>
      <c r="O242" s="3">
        <v>1.0</v>
      </c>
      <c r="P242" s="3">
        <v>2.0</v>
      </c>
      <c r="Q242" s="3">
        <v>0.0</v>
      </c>
      <c r="R242" s="3">
        <v>0.0</v>
      </c>
      <c r="S242" s="3">
        <v>0.0</v>
      </c>
      <c r="T242" s="3">
        <v>0.0</v>
      </c>
      <c r="U242" s="3">
        <v>0.0</v>
      </c>
      <c r="V242" s="3">
        <v>0.0</v>
      </c>
      <c r="W242" s="3">
        <v>0.0</v>
      </c>
      <c r="X242" s="4">
        <f t="shared" si="1"/>
        <v>65.4</v>
      </c>
      <c r="Y242" s="4">
        <f t="shared" si="2"/>
        <v>4.0875</v>
      </c>
    </row>
    <row r="243">
      <c r="A243" s="1" t="s">
        <v>427</v>
      </c>
      <c r="B243" s="1" t="s">
        <v>155</v>
      </c>
      <c r="C243" s="1" t="s">
        <v>269</v>
      </c>
      <c r="D243" s="2" t="s">
        <v>137</v>
      </c>
      <c r="E243" s="2" t="s">
        <v>28</v>
      </c>
      <c r="F243" s="3">
        <v>25.0</v>
      </c>
      <c r="G243" s="3">
        <v>17.0</v>
      </c>
      <c r="H243" s="3">
        <v>0.0</v>
      </c>
      <c r="I243" s="3">
        <v>0.0</v>
      </c>
      <c r="J243" s="3">
        <v>0.0</v>
      </c>
      <c r="K243" s="3">
        <v>7.0</v>
      </c>
      <c r="L243" s="3">
        <v>0.0</v>
      </c>
      <c r="M243" s="3">
        <v>40.0</v>
      </c>
      <c r="N243" s="3">
        <v>533.0</v>
      </c>
      <c r="O243" s="3">
        <v>3.0</v>
      </c>
      <c r="P243" s="3">
        <v>1.0</v>
      </c>
      <c r="Q243" s="3">
        <v>0.0</v>
      </c>
      <c r="R243" s="3">
        <v>0.0</v>
      </c>
      <c r="S243" s="3">
        <v>0.0</v>
      </c>
      <c r="T243" s="3">
        <v>0.0</v>
      </c>
      <c r="U243" s="3">
        <v>0.0</v>
      </c>
      <c r="V243" s="3">
        <v>0.0</v>
      </c>
      <c r="W243" s="3">
        <v>0.0</v>
      </c>
      <c r="X243" s="4">
        <f t="shared" si="1"/>
        <v>110</v>
      </c>
      <c r="Y243" s="4">
        <f t="shared" si="2"/>
        <v>6.470588235</v>
      </c>
    </row>
    <row r="244">
      <c r="A244" s="1" t="s">
        <v>428</v>
      </c>
      <c r="B244" s="1" t="s">
        <v>85</v>
      </c>
      <c r="C244" s="1" t="s">
        <v>161</v>
      </c>
      <c r="D244" s="2" t="s">
        <v>54</v>
      </c>
      <c r="E244" s="2" t="s">
        <v>28</v>
      </c>
      <c r="F244" s="3">
        <v>25.0</v>
      </c>
      <c r="G244" s="3">
        <v>17.0</v>
      </c>
      <c r="H244" s="3">
        <v>0.0</v>
      </c>
      <c r="I244" s="3">
        <v>0.0</v>
      </c>
      <c r="J244" s="3">
        <v>0.0</v>
      </c>
      <c r="K244" s="3">
        <v>58.0</v>
      </c>
      <c r="L244" s="3">
        <v>0.0</v>
      </c>
      <c r="M244" s="3">
        <v>63.0</v>
      </c>
      <c r="N244" s="3">
        <v>623.0</v>
      </c>
      <c r="O244" s="3">
        <v>3.0</v>
      </c>
      <c r="P244" s="3">
        <v>1.0</v>
      </c>
      <c r="Q244" s="3">
        <v>0.0</v>
      </c>
      <c r="R244" s="3">
        <v>0.0</v>
      </c>
      <c r="S244" s="3">
        <v>0.0</v>
      </c>
      <c r="T244" s="3">
        <v>0.0</v>
      </c>
      <c r="U244" s="3">
        <v>0.0</v>
      </c>
      <c r="V244" s="3">
        <v>0.0</v>
      </c>
      <c r="W244" s="3">
        <v>0.0</v>
      </c>
      <c r="X244" s="4">
        <f t="shared" si="1"/>
        <v>147.1</v>
      </c>
      <c r="Y244" s="4">
        <f t="shared" si="2"/>
        <v>8.652941176</v>
      </c>
    </row>
    <row r="245">
      <c r="A245" s="1" t="s">
        <v>429</v>
      </c>
      <c r="B245" s="1" t="s">
        <v>288</v>
      </c>
      <c r="C245" s="1" t="s">
        <v>62</v>
      </c>
      <c r="D245" s="2" t="s">
        <v>149</v>
      </c>
      <c r="E245" s="2" t="s">
        <v>51</v>
      </c>
      <c r="F245" s="3">
        <v>24.0</v>
      </c>
      <c r="G245" s="3">
        <v>16.0</v>
      </c>
      <c r="H245" s="3">
        <v>0.0</v>
      </c>
      <c r="I245" s="3">
        <v>0.0</v>
      </c>
      <c r="J245" s="3">
        <v>0.0</v>
      </c>
      <c r="K245" s="3">
        <v>0.0</v>
      </c>
      <c r="L245" s="3">
        <v>0.0</v>
      </c>
      <c r="M245" s="3">
        <v>63.0</v>
      </c>
      <c r="N245" s="3">
        <v>732.0</v>
      </c>
      <c r="O245" s="3">
        <v>2.0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0.0</v>
      </c>
      <c r="V245" s="3">
        <v>0.0</v>
      </c>
      <c r="W245" s="3">
        <v>0.0</v>
      </c>
      <c r="X245" s="4">
        <f t="shared" si="1"/>
        <v>148.2</v>
      </c>
      <c r="Y245" s="4">
        <f t="shared" si="2"/>
        <v>9.2625</v>
      </c>
    </row>
    <row r="246">
      <c r="A246" s="1" t="s">
        <v>430</v>
      </c>
      <c r="B246" s="1" t="s">
        <v>79</v>
      </c>
      <c r="C246" s="1" t="s">
        <v>431</v>
      </c>
      <c r="D246" s="2" t="s">
        <v>172</v>
      </c>
      <c r="E246" s="2" t="s">
        <v>39</v>
      </c>
      <c r="F246" s="3">
        <v>27.0</v>
      </c>
      <c r="G246" s="3">
        <v>17.0</v>
      </c>
      <c r="H246" s="3">
        <v>5250.0</v>
      </c>
      <c r="I246" s="3">
        <v>41.0</v>
      </c>
      <c r="J246" s="3">
        <v>12.0</v>
      </c>
      <c r="K246" s="3">
        <v>358.0</v>
      </c>
      <c r="L246" s="3">
        <v>4.0</v>
      </c>
      <c r="M246" s="3">
        <v>1.0</v>
      </c>
      <c r="N246" s="3">
        <v>6.0</v>
      </c>
      <c r="O246" s="3">
        <v>0.0</v>
      </c>
      <c r="P246" s="3">
        <v>5.0</v>
      </c>
      <c r="Q246" s="3">
        <v>1.0</v>
      </c>
      <c r="R246" s="3">
        <v>0.0</v>
      </c>
      <c r="S246" s="3">
        <v>0.0</v>
      </c>
      <c r="T246" s="3">
        <v>0.0</v>
      </c>
      <c r="U246" s="3">
        <v>0.0</v>
      </c>
      <c r="V246" s="3">
        <v>0.0</v>
      </c>
      <c r="W246" s="3">
        <v>0.0</v>
      </c>
      <c r="X246" s="4">
        <f t="shared" si="1"/>
        <v>403.4</v>
      </c>
      <c r="Y246" s="4">
        <f t="shared" si="2"/>
        <v>23.72941176</v>
      </c>
    </row>
    <row r="247">
      <c r="A247" s="1" t="s">
        <v>432</v>
      </c>
      <c r="B247" s="1" t="s">
        <v>68</v>
      </c>
      <c r="C247" s="1" t="s">
        <v>115</v>
      </c>
      <c r="D247" s="2" t="s">
        <v>104</v>
      </c>
      <c r="E247" s="2" t="s">
        <v>28</v>
      </c>
      <c r="F247" s="3">
        <v>29.0</v>
      </c>
      <c r="G247" s="3">
        <v>15.0</v>
      </c>
      <c r="H247" s="3">
        <v>0.0</v>
      </c>
      <c r="I247" s="3">
        <v>0.0</v>
      </c>
      <c r="J247" s="3">
        <v>0.0</v>
      </c>
      <c r="K247" s="3">
        <v>0.0</v>
      </c>
      <c r="L247" s="3">
        <v>0.0</v>
      </c>
      <c r="M247" s="3">
        <v>20.0</v>
      </c>
      <c r="N247" s="3">
        <v>257.0</v>
      </c>
      <c r="O247" s="3">
        <v>1.0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0.0</v>
      </c>
      <c r="V247" s="3">
        <v>0.0</v>
      </c>
      <c r="W247" s="3">
        <v>0.0</v>
      </c>
      <c r="X247" s="4">
        <f t="shared" si="1"/>
        <v>51.7</v>
      </c>
      <c r="Y247" s="4">
        <f t="shared" si="2"/>
        <v>3.446666667</v>
      </c>
    </row>
    <row r="248">
      <c r="A248" s="1" t="s">
        <v>433</v>
      </c>
      <c r="B248" s="1" t="s">
        <v>69</v>
      </c>
      <c r="C248" s="1" t="s">
        <v>434</v>
      </c>
      <c r="D248" s="2" t="s">
        <v>27</v>
      </c>
      <c r="E248" s="2" t="s">
        <v>28</v>
      </c>
      <c r="F248" s="3">
        <v>24.0</v>
      </c>
      <c r="G248" s="3">
        <v>17.0</v>
      </c>
      <c r="H248" s="3">
        <v>0.0</v>
      </c>
      <c r="I248" s="3">
        <v>0.0</v>
      </c>
      <c r="J248" s="3">
        <v>0.0</v>
      </c>
      <c r="K248" s="3">
        <v>1.0</v>
      </c>
      <c r="L248" s="3">
        <v>0.0</v>
      </c>
      <c r="M248" s="3">
        <v>33.0</v>
      </c>
      <c r="N248" s="3">
        <v>354.0</v>
      </c>
      <c r="O248" s="3">
        <v>3.0</v>
      </c>
      <c r="P248" s="3">
        <v>1.0</v>
      </c>
      <c r="Q248" s="3">
        <v>0.0</v>
      </c>
      <c r="R248" s="3">
        <v>0.0</v>
      </c>
      <c r="S248" s="3">
        <v>0.0</v>
      </c>
      <c r="T248" s="3">
        <v>0.0</v>
      </c>
      <c r="U248" s="3">
        <v>0.0</v>
      </c>
      <c r="V248" s="3">
        <v>0.0</v>
      </c>
      <c r="W248" s="3">
        <v>0.0</v>
      </c>
      <c r="X248" s="4">
        <f t="shared" si="1"/>
        <v>84.5</v>
      </c>
      <c r="Y248" s="4">
        <f t="shared" si="2"/>
        <v>4.970588235</v>
      </c>
    </row>
    <row r="249">
      <c r="A249" s="1" t="s">
        <v>435</v>
      </c>
      <c r="B249" s="2" t="s">
        <v>49</v>
      </c>
      <c r="C249" s="1" t="s">
        <v>107</v>
      </c>
      <c r="D249" s="2" t="s">
        <v>129</v>
      </c>
      <c r="E249" s="2" t="s">
        <v>36</v>
      </c>
      <c r="F249" s="3">
        <v>23.0</v>
      </c>
      <c r="G249" s="3">
        <v>17.0</v>
      </c>
      <c r="H249" s="3">
        <v>0.0</v>
      </c>
      <c r="I249" s="3">
        <v>0.0</v>
      </c>
      <c r="J249" s="3">
        <v>0.0</v>
      </c>
      <c r="K249" s="3">
        <v>481.0</v>
      </c>
      <c r="L249" s="3">
        <v>1.0</v>
      </c>
      <c r="M249" s="3">
        <v>50.0</v>
      </c>
      <c r="N249" s="3">
        <v>290.0</v>
      </c>
      <c r="O249" s="3">
        <v>2.0</v>
      </c>
      <c r="P249" s="3">
        <v>3.0</v>
      </c>
      <c r="Q249" s="3">
        <v>0.0</v>
      </c>
      <c r="R249" s="3">
        <v>0.0</v>
      </c>
      <c r="S249" s="3">
        <v>0.0</v>
      </c>
      <c r="T249" s="3">
        <v>0.0</v>
      </c>
      <c r="U249" s="3">
        <v>0.0</v>
      </c>
      <c r="V249" s="3">
        <v>0.0</v>
      </c>
      <c r="W249" s="3">
        <v>0.0</v>
      </c>
      <c r="X249" s="4">
        <f t="shared" si="1"/>
        <v>139.1</v>
      </c>
      <c r="Y249" s="4">
        <f t="shared" si="2"/>
        <v>8.182352941</v>
      </c>
    </row>
    <row r="250">
      <c r="A250" s="1" t="s">
        <v>436</v>
      </c>
      <c r="B250" s="1" t="s">
        <v>68</v>
      </c>
      <c r="C250" s="1" t="s">
        <v>437</v>
      </c>
      <c r="D250" s="2" t="s">
        <v>152</v>
      </c>
      <c r="E250" s="2" t="s">
        <v>36</v>
      </c>
      <c r="F250" s="3">
        <v>30.0</v>
      </c>
      <c r="G250" s="3">
        <v>16.0</v>
      </c>
      <c r="H250" s="3">
        <v>0.0</v>
      </c>
      <c r="I250" s="3">
        <v>0.0</v>
      </c>
      <c r="J250" s="3">
        <v>0.0</v>
      </c>
      <c r="K250" s="3">
        <v>891.0</v>
      </c>
      <c r="L250" s="3">
        <v>3.0</v>
      </c>
      <c r="M250" s="3">
        <v>31.0</v>
      </c>
      <c r="N250" s="3">
        <v>202.0</v>
      </c>
      <c r="O250" s="3">
        <v>2.0</v>
      </c>
      <c r="P250" s="3">
        <v>1.0</v>
      </c>
      <c r="Q250" s="3">
        <v>0.0</v>
      </c>
      <c r="R250" s="3">
        <v>0.0</v>
      </c>
      <c r="S250" s="3">
        <v>0.0</v>
      </c>
      <c r="T250" s="3">
        <v>0.0</v>
      </c>
      <c r="U250" s="3">
        <v>0.0</v>
      </c>
      <c r="V250" s="3">
        <v>0.0</v>
      </c>
      <c r="W250" s="3">
        <v>0.0</v>
      </c>
      <c r="X250" s="4">
        <f t="shared" si="1"/>
        <v>168.3</v>
      </c>
      <c r="Y250" s="4">
        <f t="shared" si="2"/>
        <v>10.51875</v>
      </c>
    </row>
    <row r="251">
      <c r="A251" s="1" t="s">
        <v>438</v>
      </c>
      <c r="B251" s="1" t="s">
        <v>65</v>
      </c>
      <c r="C251" s="1" t="s">
        <v>202</v>
      </c>
      <c r="D251" s="2" t="s">
        <v>35</v>
      </c>
      <c r="E251" s="2" t="s">
        <v>28</v>
      </c>
      <c r="F251" s="3">
        <v>32.0</v>
      </c>
      <c r="G251" s="3">
        <v>13.0</v>
      </c>
      <c r="H251" s="3">
        <v>0.0</v>
      </c>
      <c r="I251" s="3">
        <v>0.0</v>
      </c>
      <c r="J251" s="3">
        <v>0.0</v>
      </c>
      <c r="K251" s="3">
        <v>0.0</v>
      </c>
      <c r="L251" s="3">
        <v>0.0</v>
      </c>
      <c r="M251" s="3">
        <v>34.0</v>
      </c>
      <c r="N251" s="3">
        <v>417.0</v>
      </c>
      <c r="O251" s="3">
        <v>1.0</v>
      </c>
      <c r="P251" s="3">
        <v>1.0</v>
      </c>
      <c r="Q251" s="3">
        <v>0.0</v>
      </c>
      <c r="R251" s="3">
        <v>0.0</v>
      </c>
      <c r="S251" s="3">
        <v>0.0</v>
      </c>
      <c r="T251" s="3">
        <v>0.0</v>
      </c>
      <c r="U251" s="3">
        <v>0.0</v>
      </c>
      <c r="V251" s="3">
        <v>0.0</v>
      </c>
      <c r="W251" s="3">
        <v>0.0</v>
      </c>
      <c r="X251" s="4">
        <f t="shared" si="1"/>
        <v>79.7</v>
      </c>
      <c r="Y251" s="4">
        <f t="shared" si="2"/>
        <v>6.130769231</v>
      </c>
    </row>
    <row r="252">
      <c r="A252" s="1" t="s">
        <v>439</v>
      </c>
      <c r="B252" s="1" t="s">
        <v>79</v>
      </c>
      <c r="C252" s="1" t="s">
        <v>163</v>
      </c>
      <c r="D252" s="2" t="s">
        <v>92</v>
      </c>
      <c r="E252" s="2" t="s">
        <v>112</v>
      </c>
      <c r="F252" s="3">
        <v>33.0</v>
      </c>
      <c r="G252" s="3">
        <v>15.0</v>
      </c>
      <c r="H252" s="3">
        <v>0.0</v>
      </c>
      <c r="I252" s="3">
        <v>0.0</v>
      </c>
      <c r="J252" s="3">
        <v>0.0</v>
      </c>
      <c r="K252" s="3">
        <v>0.0</v>
      </c>
      <c r="L252" s="3">
        <v>0.0</v>
      </c>
      <c r="M252" s="3">
        <v>0.0</v>
      </c>
      <c r="N252" s="3">
        <v>0.0</v>
      </c>
      <c r="O252" s="3">
        <v>0.0</v>
      </c>
      <c r="P252" s="3">
        <v>0.0</v>
      </c>
      <c r="Q252" s="3">
        <v>0.0</v>
      </c>
      <c r="R252" s="3">
        <v>28.0</v>
      </c>
      <c r="S252" s="3">
        <v>10.0</v>
      </c>
      <c r="T252" s="3">
        <v>6.0</v>
      </c>
      <c r="U252" s="3">
        <v>1.0</v>
      </c>
      <c r="V252" s="3">
        <v>0.0</v>
      </c>
      <c r="W252" s="3">
        <v>3.0</v>
      </c>
      <c r="X252" s="4">
        <f t="shared" si="1"/>
        <v>84</v>
      </c>
      <c r="Y252" s="4">
        <f t="shared" si="2"/>
        <v>5.6</v>
      </c>
    </row>
    <row r="253">
      <c r="A253" s="1" t="s">
        <v>440</v>
      </c>
      <c r="B253" s="1" t="s">
        <v>121</v>
      </c>
      <c r="C253" s="1" t="s">
        <v>441</v>
      </c>
      <c r="D253" s="2" t="s">
        <v>66</v>
      </c>
      <c r="E253" s="2" t="s">
        <v>28</v>
      </c>
      <c r="F253" s="3">
        <v>24.0</v>
      </c>
      <c r="G253" s="3">
        <v>12.0</v>
      </c>
      <c r="H253" s="3">
        <v>0.0</v>
      </c>
      <c r="I253" s="3">
        <v>0.0</v>
      </c>
      <c r="J253" s="3">
        <v>0.0</v>
      </c>
      <c r="K253" s="3">
        <v>57.0</v>
      </c>
      <c r="L253" s="3">
        <v>1.0</v>
      </c>
      <c r="M253" s="3">
        <v>28.0</v>
      </c>
      <c r="N253" s="3">
        <v>488.0</v>
      </c>
      <c r="O253" s="3">
        <v>2.0</v>
      </c>
      <c r="P253" s="3">
        <v>1.0</v>
      </c>
      <c r="Q253" s="3">
        <v>0.0</v>
      </c>
      <c r="R253" s="3">
        <v>0.0</v>
      </c>
      <c r="S253" s="3">
        <v>0.0</v>
      </c>
      <c r="T253" s="3">
        <v>0.0</v>
      </c>
      <c r="U253" s="3">
        <v>0.0</v>
      </c>
      <c r="V253" s="3">
        <v>0.0</v>
      </c>
      <c r="W253" s="3">
        <v>0.0</v>
      </c>
      <c r="X253" s="4">
        <f t="shared" si="1"/>
        <v>98.5</v>
      </c>
      <c r="Y253" s="4">
        <f t="shared" si="2"/>
        <v>8.208333333</v>
      </c>
    </row>
    <row r="254">
      <c r="A254" s="1" t="s">
        <v>442</v>
      </c>
      <c r="B254" s="1" t="s">
        <v>68</v>
      </c>
      <c r="C254" s="1" t="s">
        <v>227</v>
      </c>
      <c r="D254" s="2" t="s">
        <v>108</v>
      </c>
      <c r="E254" s="2" t="s">
        <v>28</v>
      </c>
      <c r="F254" s="3">
        <v>26.0</v>
      </c>
      <c r="G254" s="3">
        <v>17.0</v>
      </c>
      <c r="H254" s="3">
        <v>0.0</v>
      </c>
      <c r="I254" s="3">
        <v>0.0</v>
      </c>
      <c r="J254" s="3">
        <v>0.0</v>
      </c>
      <c r="K254" s="3">
        <v>78.0</v>
      </c>
      <c r="L254" s="3">
        <v>1.0</v>
      </c>
      <c r="M254" s="3">
        <v>14.0</v>
      </c>
      <c r="N254" s="3">
        <v>243.0</v>
      </c>
      <c r="O254" s="3">
        <v>1.0</v>
      </c>
      <c r="P254" s="3">
        <v>2.0</v>
      </c>
      <c r="Q254" s="3">
        <v>0.0</v>
      </c>
      <c r="R254" s="3">
        <v>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  <c r="X254" s="4">
        <f t="shared" si="1"/>
        <v>54.1</v>
      </c>
      <c r="Y254" s="4">
        <f t="shared" si="2"/>
        <v>3.182352941</v>
      </c>
    </row>
    <row r="255">
      <c r="A255" s="1" t="s">
        <v>443</v>
      </c>
      <c r="B255" s="1" t="s">
        <v>202</v>
      </c>
      <c r="C255" s="1" t="s">
        <v>72</v>
      </c>
      <c r="D255" s="2" t="s">
        <v>104</v>
      </c>
      <c r="E255" s="2" t="s">
        <v>36</v>
      </c>
      <c r="F255" s="3">
        <v>32.0</v>
      </c>
      <c r="G255" s="3">
        <v>16.0</v>
      </c>
      <c r="H255" s="3">
        <v>0.0</v>
      </c>
      <c r="I255" s="3">
        <v>0.0</v>
      </c>
      <c r="J255" s="3">
        <v>0.0</v>
      </c>
      <c r="K255" s="3">
        <v>80.0</v>
      </c>
      <c r="L255" s="3">
        <v>0.0</v>
      </c>
      <c r="M255" s="3">
        <v>37.0</v>
      </c>
      <c r="N255" s="3">
        <v>204.0</v>
      </c>
      <c r="O255" s="3">
        <v>1.0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4">
        <f t="shared" si="1"/>
        <v>71.4</v>
      </c>
      <c r="Y255" s="4">
        <f t="shared" si="2"/>
        <v>4.4625</v>
      </c>
    </row>
    <row r="256">
      <c r="A256" s="1" t="s">
        <v>444</v>
      </c>
      <c r="B256" s="1" t="s">
        <v>106</v>
      </c>
      <c r="C256" s="1" t="s">
        <v>94</v>
      </c>
      <c r="D256" s="2" t="s">
        <v>203</v>
      </c>
      <c r="E256" s="2" t="s">
        <v>36</v>
      </c>
      <c r="F256" s="3">
        <v>24.0</v>
      </c>
      <c r="G256" s="3">
        <v>17.0</v>
      </c>
      <c r="H256" s="3">
        <v>0.0</v>
      </c>
      <c r="I256" s="3">
        <v>0.0</v>
      </c>
      <c r="J256" s="3">
        <v>0.0</v>
      </c>
      <c r="K256" s="3">
        <v>1040.0</v>
      </c>
      <c r="L256" s="3">
        <v>5.0</v>
      </c>
      <c r="M256" s="3">
        <v>69.0</v>
      </c>
      <c r="N256" s="3">
        <v>421.0</v>
      </c>
      <c r="O256" s="3">
        <v>1.0</v>
      </c>
      <c r="P256" s="3">
        <v>4.0</v>
      </c>
      <c r="Q256" s="3">
        <v>0.0</v>
      </c>
      <c r="R256" s="3">
        <v>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  <c r="X256" s="4">
        <f t="shared" si="1"/>
        <v>243.1</v>
      </c>
      <c r="Y256" s="4">
        <f t="shared" si="2"/>
        <v>14.3</v>
      </c>
    </row>
    <row r="257">
      <c r="A257" s="1" t="s">
        <v>445</v>
      </c>
      <c r="B257" s="1" t="s">
        <v>68</v>
      </c>
      <c r="C257" s="1" t="s">
        <v>446</v>
      </c>
      <c r="D257" s="2" t="s">
        <v>207</v>
      </c>
      <c r="E257" s="2" t="s">
        <v>28</v>
      </c>
      <c r="F257" s="3">
        <v>27.0</v>
      </c>
      <c r="G257" s="3">
        <v>17.0</v>
      </c>
      <c r="H257" s="3">
        <v>0.0</v>
      </c>
      <c r="I257" s="3">
        <v>0.0</v>
      </c>
      <c r="J257" s="3">
        <v>0.0</v>
      </c>
      <c r="K257" s="3">
        <v>6.0</v>
      </c>
      <c r="L257" s="3">
        <v>0.0</v>
      </c>
      <c r="M257" s="3">
        <v>57.0</v>
      </c>
      <c r="N257" s="3">
        <v>569.0</v>
      </c>
      <c r="O257" s="3">
        <v>4.0</v>
      </c>
      <c r="P257" s="3">
        <v>3.0</v>
      </c>
      <c r="Q257" s="3">
        <v>0.0</v>
      </c>
      <c r="R257" s="3">
        <v>0.0</v>
      </c>
      <c r="S257" s="3">
        <v>0.0</v>
      </c>
      <c r="T257" s="3">
        <v>0.0</v>
      </c>
      <c r="U257" s="3">
        <v>0.0</v>
      </c>
      <c r="V257" s="3">
        <v>0.0</v>
      </c>
      <c r="W257" s="3">
        <v>0.0</v>
      </c>
      <c r="X257" s="4">
        <f t="shared" si="1"/>
        <v>132.5</v>
      </c>
      <c r="Y257" s="4">
        <f t="shared" si="2"/>
        <v>7.794117647</v>
      </c>
    </row>
    <row r="258">
      <c r="A258" s="1" t="s">
        <v>447</v>
      </c>
      <c r="B258" s="2" t="s">
        <v>48</v>
      </c>
      <c r="C258" s="1" t="s">
        <v>82</v>
      </c>
      <c r="D258" s="2" t="s">
        <v>164</v>
      </c>
      <c r="E258" s="2" t="s">
        <v>112</v>
      </c>
      <c r="F258" s="3">
        <v>23.0</v>
      </c>
      <c r="G258" s="3">
        <v>17.0</v>
      </c>
      <c r="H258" s="3">
        <v>0.0</v>
      </c>
      <c r="I258" s="3">
        <v>0.0</v>
      </c>
      <c r="J258" s="3">
        <v>0.0</v>
      </c>
      <c r="K258" s="3">
        <v>0.0</v>
      </c>
      <c r="L258" s="3">
        <v>0.0</v>
      </c>
      <c r="M258" s="3">
        <v>0.0</v>
      </c>
      <c r="N258" s="3">
        <v>0.0</v>
      </c>
      <c r="O258" s="3">
        <v>0.0</v>
      </c>
      <c r="P258" s="3">
        <v>0.0</v>
      </c>
      <c r="Q258" s="3">
        <v>0.0</v>
      </c>
      <c r="R258" s="3">
        <v>36.0</v>
      </c>
      <c r="S258" s="3">
        <v>18.0</v>
      </c>
      <c r="T258" s="3">
        <v>10.0</v>
      </c>
      <c r="U258" s="3">
        <v>2.0</v>
      </c>
      <c r="V258" s="3">
        <v>0.0</v>
      </c>
      <c r="W258" s="3">
        <v>5.0</v>
      </c>
      <c r="X258" s="4">
        <f t="shared" si="1"/>
        <v>135</v>
      </c>
      <c r="Y258" s="4">
        <f t="shared" si="2"/>
        <v>7.941176471</v>
      </c>
    </row>
    <row r="259">
      <c r="A259" s="1" t="s">
        <v>448</v>
      </c>
      <c r="B259" s="1" t="s">
        <v>110</v>
      </c>
      <c r="C259" s="1" t="s">
        <v>62</v>
      </c>
      <c r="D259" s="2" t="s">
        <v>108</v>
      </c>
      <c r="E259" s="2" t="s">
        <v>112</v>
      </c>
      <c r="F259" s="3">
        <v>40.0</v>
      </c>
      <c r="G259" s="3">
        <v>17.0</v>
      </c>
      <c r="H259" s="3">
        <v>0.0</v>
      </c>
      <c r="I259" s="3">
        <v>0.0</v>
      </c>
      <c r="J259" s="3">
        <v>0.0</v>
      </c>
      <c r="K259" s="3">
        <v>0.0</v>
      </c>
      <c r="L259" s="3">
        <v>0.0</v>
      </c>
      <c r="M259" s="3">
        <v>0.0</v>
      </c>
      <c r="N259" s="3">
        <v>0.0</v>
      </c>
      <c r="O259" s="3">
        <v>0.0</v>
      </c>
      <c r="P259" s="3">
        <v>0.0</v>
      </c>
      <c r="Q259" s="3">
        <v>0.0</v>
      </c>
      <c r="R259" s="3">
        <v>50.0</v>
      </c>
      <c r="S259" s="3">
        <v>18.0</v>
      </c>
      <c r="T259" s="3">
        <v>7.0</v>
      </c>
      <c r="U259" s="3">
        <v>2.0</v>
      </c>
      <c r="V259" s="3">
        <v>0.0</v>
      </c>
      <c r="W259" s="3">
        <v>5.0</v>
      </c>
      <c r="X259" s="4">
        <f t="shared" si="1"/>
        <v>137</v>
      </c>
      <c r="Y259" s="4">
        <f t="shared" si="2"/>
        <v>8.058823529</v>
      </c>
    </row>
    <row r="260">
      <c r="A260" s="1" t="s">
        <v>449</v>
      </c>
      <c r="B260" s="1" t="s">
        <v>48</v>
      </c>
      <c r="C260" s="1" t="s">
        <v>450</v>
      </c>
      <c r="D260" s="2" t="s">
        <v>35</v>
      </c>
      <c r="E260" s="2" t="s">
        <v>51</v>
      </c>
      <c r="F260" s="3">
        <v>28.0</v>
      </c>
      <c r="G260" s="3">
        <v>17.0</v>
      </c>
      <c r="H260" s="3">
        <v>0.0</v>
      </c>
      <c r="I260" s="3">
        <v>0.0</v>
      </c>
      <c r="J260" s="3">
        <v>0.0</v>
      </c>
      <c r="K260" s="3">
        <v>0.0</v>
      </c>
      <c r="L260" s="3">
        <v>0.0</v>
      </c>
      <c r="M260" s="3">
        <v>53.0</v>
      </c>
      <c r="N260" s="3">
        <v>470.0</v>
      </c>
      <c r="O260" s="3">
        <v>2.0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0.0</v>
      </c>
      <c r="V260" s="3">
        <v>0.0</v>
      </c>
      <c r="W260" s="3">
        <v>0.0</v>
      </c>
      <c r="X260" s="4">
        <f t="shared" si="1"/>
        <v>112</v>
      </c>
      <c r="Y260" s="4">
        <f t="shared" si="2"/>
        <v>6.588235294</v>
      </c>
    </row>
    <row r="261">
      <c r="A261" s="1" t="s">
        <v>451</v>
      </c>
      <c r="B261" s="1" t="s">
        <v>75</v>
      </c>
      <c r="C261" s="1" t="s">
        <v>76</v>
      </c>
      <c r="D261" s="2" t="s">
        <v>92</v>
      </c>
      <c r="E261" s="2" t="s">
        <v>28</v>
      </c>
      <c r="F261" s="3">
        <v>30.0</v>
      </c>
      <c r="G261" s="3">
        <v>17.0</v>
      </c>
      <c r="H261" s="3">
        <v>0.0</v>
      </c>
      <c r="I261" s="3">
        <v>0.0</v>
      </c>
      <c r="J261" s="3">
        <v>0.0</v>
      </c>
      <c r="K261" s="3">
        <v>0.0</v>
      </c>
      <c r="L261" s="3">
        <v>0.0</v>
      </c>
      <c r="M261" s="3">
        <v>53.0</v>
      </c>
      <c r="N261" s="3">
        <v>527.0</v>
      </c>
      <c r="O261" s="3">
        <v>2.0</v>
      </c>
      <c r="P261" s="3">
        <v>1.0</v>
      </c>
      <c r="Q261" s="3">
        <v>0.0</v>
      </c>
      <c r="R261" s="3">
        <v>0.0</v>
      </c>
      <c r="S261" s="3">
        <v>0.0</v>
      </c>
      <c r="T261" s="3">
        <v>0.0</v>
      </c>
      <c r="U261" s="3">
        <v>0.0</v>
      </c>
      <c r="V261" s="3">
        <v>0.0</v>
      </c>
      <c r="W261" s="3">
        <v>0.0</v>
      </c>
      <c r="X261" s="4">
        <f t="shared" si="1"/>
        <v>115.7</v>
      </c>
      <c r="Y261" s="4">
        <f t="shared" si="2"/>
        <v>6.805882353</v>
      </c>
    </row>
    <row r="262">
      <c r="A262" s="1" t="s">
        <v>452</v>
      </c>
      <c r="B262" s="2" t="s">
        <v>38</v>
      </c>
      <c r="C262" s="1" t="s">
        <v>106</v>
      </c>
      <c r="D262" s="2" t="s">
        <v>35</v>
      </c>
      <c r="E262" s="2" t="s">
        <v>28</v>
      </c>
      <c r="F262" s="3">
        <v>22.0</v>
      </c>
      <c r="G262" s="3">
        <v>13.0</v>
      </c>
      <c r="H262" s="3">
        <v>0.0</v>
      </c>
      <c r="I262" s="3">
        <v>0.0</v>
      </c>
      <c r="J262" s="3">
        <v>0.0</v>
      </c>
      <c r="K262" s="3">
        <v>11.0</v>
      </c>
      <c r="L262" s="3">
        <v>0.0</v>
      </c>
      <c r="M262" s="3">
        <v>42.0</v>
      </c>
      <c r="N262" s="3">
        <v>425.0</v>
      </c>
      <c r="O262" s="3">
        <v>3.0</v>
      </c>
      <c r="P262" s="3">
        <v>2.0</v>
      </c>
      <c r="Q262" s="3">
        <v>0.0</v>
      </c>
      <c r="R262" s="3">
        <v>0.0</v>
      </c>
      <c r="S262" s="3">
        <v>0.0</v>
      </c>
      <c r="T262" s="3">
        <v>0.0</v>
      </c>
      <c r="U262" s="3">
        <v>0.0</v>
      </c>
      <c r="V262" s="3">
        <v>0.0</v>
      </c>
      <c r="W262" s="3">
        <v>0.0</v>
      </c>
      <c r="X262" s="4">
        <f t="shared" si="1"/>
        <v>99.6</v>
      </c>
      <c r="Y262" s="4">
        <f t="shared" si="2"/>
        <v>7.661538462</v>
      </c>
    </row>
    <row r="263">
      <c r="A263" s="1" t="s">
        <v>453</v>
      </c>
      <c r="B263" s="1" t="s">
        <v>97</v>
      </c>
      <c r="C263" s="1" t="s">
        <v>437</v>
      </c>
      <c r="D263" s="2" t="s">
        <v>32</v>
      </c>
      <c r="E263" s="2" t="s">
        <v>28</v>
      </c>
      <c r="F263" s="3">
        <v>22.0</v>
      </c>
      <c r="G263" s="3">
        <v>8.0</v>
      </c>
      <c r="H263" s="3">
        <v>0.0</v>
      </c>
      <c r="I263" s="3">
        <v>0.0</v>
      </c>
      <c r="J263" s="3">
        <v>0.0</v>
      </c>
      <c r="K263" s="3">
        <v>-5.0</v>
      </c>
      <c r="L263" s="3">
        <v>0.0</v>
      </c>
      <c r="M263" s="3">
        <v>41.0</v>
      </c>
      <c r="N263" s="3">
        <v>414.0</v>
      </c>
      <c r="O263" s="3">
        <v>1.0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0.0</v>
      </c>
      <c r="V263" s="3">
        <v>0.0</v>
      </c>
      <c r="W263" s="3">
        <v>0.0</v>
      </c>
      <c r="X263" s="4">
        <f t="shared" si="1"/>
        <v>87.9</v>
      </c>
      <c r="Y263" s="4">
        <f t="shared" si="2"/>
        <v>10.9875</v>
      </c>
    </row>
    <row r="264">
      <c r="A264" s="1" t="s">
        <v>454</v>
      </c>
      <c r="B264" s="1" t="s">
        <v>100</v>
      </c>
      <c r="C264" s="1" t="s">
        <v>131</v>
      </c>
      <c r="D264" s="2" t="s">
        <v>129</v>
      </c>
      <c r="E264" s="2" t="s">
        <v>28</v>
      </c>
      <c r="F264" s="3">
        <v>26.0</v>
      </c>
      <c r="G264" s="3">
        <v>13.0</v>
      </c>
      <c r="H264" s="3">
        <v>0.0</v>
      </c>
      <c r="I264" s="3">
        <v>0.0</v>
      </c>
      <c r="J264" s="3">
        <v>0.0</v>
      </c>
      <c r="K264" s="3">
        <v>0.0</v>
      </c>
      <c r="L264" s="3">
        <v>0.0</v>
      </c>
      <c r="M264" s="3">
        <v>51.0</v>
      </c>
      <c r="N264" s="3">
        <v>426.0</v>
      </c>
      <c r="O264" s="3">
        <v>5.0</v>
      </c>
      <c r="P264" s="3">
        <v>1.0</v>
      </c>
      <c r="Q264" s="3">
        <v>1.0</v>
      </c>
      <c r="R264" s="3">
        <v>0.0</v>
      </c>
      <c r="S264" s="3">
        <v>0.0</v>
      </c>
      <c r="T264" s="3">
        <v>0.0</v>
      </c>
      <c r="U264" s="3">
        <v>0.0</v>
      </c>
      <c r="V264" s="3">
        <v>0.0</v>
      </c>
      <c r="W264" s="3">
        <v>0.0</v>
      </c>
      <c r="X264" s="4">
        <f t="shared" si="1"/>
        <v>123.6</v>
      </c>
      <c r="Y264" s="4">
        <f t="shared" si="2"/>
        <v>9.507692308</v>
      </c>
    </row>
    <row r="265">
      <c r="A265" s="1" t="s">
        <v>455</v>
      </c>
      <c r="B265" s="1" t="s">
        <v>85</v>
      </c>
      <c r="C265" s="1" t="s">
        <v>262</v>
      </c>
      <c r="D265" s="2" t="s">
        <v>50</v>
      </c>
      <c r="E265" s="2" t="s">
        <v>39</v>
      </c>
      <c r="F265" s="3">
        <v>34.0</v>
      </c>
      <c r="G265" s="3">
        <v>15.0</v>
      </c>
      <c r="H265" s="3">
        <v>3524.0</v>
      </c>
      <c r="I265" s="3">
        <v>16.0</v>
      </c>
      <c r="J265" s="3">
        <v>11.0</v>
      </c>
      <c r="K265" s="3">
        <v>277.0</v>
      </c>
      <c r="L265" s="3">
        <v>3.0</v>
      </c>
      <c r="M265" s="3">
        <v>1.0</v>
      </c>
      <c r="N265" s="3">
        <v>1.0</v>
      </c>
      <c r="O265" s="3">
        <v>0.0</v>
      </c>
      <c r="P265" s="3">
        <v>6.0</v>
      </c>
      <c r="Q265" s="3">
        <v>0.0</v>
      </c>
      <c r="R265" s="3">
        <v>0.0</v>
      </c>
      <c r="S265" s="3">
        <v>0.0</v>
      </c>
      <c r="T265" s="3">
        <v>0.0</v>
      </c>
      <c r="U265" s="3">
        <v>0.0</v>
      </c>
      <c r="V265" s="3">
        <v>0.0</v>
      </c>
      <c r="W265" s="3">
        <v>0.0</v>
      </c>
      <c r="X265" s="4">
        <f t="shared" si="1"/>
        <v>217.76</v>
      </c>
      <c r="Y265" s="4">
        <f t="shared" si="2"/>
        <v>14.51733333</v>
      </c>
    </row>
    <row r="266">
      <c r="A266" s="1" t="s">
        <v>456</v>
      </c>
      <c r="B266" s="1" t="s">
        <v>114</v>
      </c>
      <c r="C266" s="1" t="s">
        <v>30</v>
      </c>
      <c r="D266" s="2" t="s">
        <v>129</v>
      </c>
      <c r="E266" s="2" t="s">
        <v>112</v>
      </c>
      <c r="F266" s="3">
        <v>36.0</v>
      </c>
      <c r="G266" s="3">
        <v>17.0</v>
      </c>
      <c r="H266" s="3">
        <v>0.0</v>
      </c>
      <c r="I266" s="3">
        <v>0.0</v>
      </c>
      <c r="J266" s="3">
        <v>0.0</v>
      </c>
      <c r="K266" s="3">
        <v>0.0</v>
      </c>
      <c r="L266" s="3">
        <v>0.0</v>
      </c>
      <c r="M266" s="3">
        <v>0.0</v>
      </c>
      <c r="N266" s="3">
        <v>0.0</v>
      </c>
      <c r="O266" s="3">
        <v>0.0</v>
      </c>
      <c r="P266" s="3">
        <v>0.0</v>
      </c>
      <c r="Q266" s="3">
        <v>0.0</v>
      </c>
      <c r="R266" s="3">
        <v>24.0</v>
      </c>
      <c r="S266" s="3">
        <v>17.0</v>
      </c>
      <c r="T266" s="3">
        <v>12.0</v>
      </c>
      <c r="U266" s="3">
        <v>2.0</v>
      </c>
      <c r="V266" s="3">
        <v>0.0</v>
      </c>
      <c r="W266" s="3">
        <v>7.0</v>
      </c>
      <c r="X266" s="4">
        <f t="shared" si="1"/>
        <v>126</v>
      </c>
      <c r="Y266" s="4">
        <f t="shared" si="2"/>
        <v>7.411764706</v>
      </c>
    </row>
    <row r="267">
      <c r="A267" s="1" t="s">
        <v>457</v>
      </c>
      <c r="B267" s="1" t="s">
        <v>79</v>
      </c>
      <c r="C267" s="1" t="s">
        <v>163</v>
      </c>
      <c r="D267" s="2" t="s">
        <v>92</v>
      </c>
      <c r="E267" s="2" t="s">
        <v>39</v>
      </c>
      <c r="F267" s="3">
        <v>34.0</v>
      </c>
      <c r="G267" s="3">
        <v>12.0</v>
      </c>
      <c r="H267" s="3">
        <v>2536.0</v>
      </c>
      <c r="I267" s="3">
        <v>13.0</v>
      </c>
      <c r="J267" s="3">
        <v>6.0</v>
      </c>
      <c r="K267" s="3">
        <v>98.0</v>
      </c>
      <c r="L267" s="3">
        <v>2.0</v>
      </c>
      <c r="M267" s="3">
        <v>0.0</v>
      </c>
      <c r="N267" s="3">
        <v>0.0</v>
      </c>
      <c r="O267" s="3">
        <v>0.0</v>
      </c>
      <c r="P267" s="3">
        <v>3.0</v>
      </c>
      <c r="Q267" s="3">
        <v>0.0</v>
      </c>
      <c r="R267" s="3">
        <v>0.0</v>
      </c>
      <c r="S267" s="3">
        <v>0.0</v>
      </c>
      <c r="T267" s="3">
        <v>0.0</v>
      </c>
      <c r="U267" s="3">
        <v>0.0</v>
      </c>
      <c r="V267" s="3">
        <v>0.0</v>
      </c>
      <c r="W267" s="3">
        <v>0.0</v>
      </c>
      <c r="X267" s="4">
        <f t="shared" si="1"/>
        <v>157.24</v>
      </c>
      <c r="Y267" s="4">
        <f t="shared" si="2"/>
        <v>13.10333333</v>
      </c>
    </row>
    <row r="268">
      <c r="A268" s="1" t="s">
        <v>458</v>
      </c>
      <c r="B268" s="1" t="s">
        <v>69</v>
      </c>
      <c r="C268" s="1" t="s">
        <v>94</v>
      </c>
      <c r="D268" s="2" t="s">
        <v>253</v>
      </c>
      <c r="E268" s="2" t="s">
        <v>36</v>
      </c>
      <c r="F268" s="3">
        <v>27.0</v>
      </c>
      <c r="G268" s="3">
        <v>16.0</v>
      </c>
      <c r="H268" s="3">
        <v>0.0</v>
      </c>
      <c r="I268" s="3">
        <v>0.0</v>
      </c>
      <c r="J268" s="3">
        <v>0.0</v>
      </c>
      <c r="K268" s="3">
        <v>394.0</v>
      </c>
      <c r="L268" s="3">
        <v>2.0</v>
      </c>
      <c r="M268" s="3">
        <v>38.0</v>
      </c>
      <c r="N268" s="3">
        <v>287.0</v>
      </c>
      <c r="O268" s="3">
        <v>4.0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0.0</v>
      </c>
      <c r="V268" s="3">
        <v>0.0</v>
      </c>
      <c r="W268" s="3">
        <v>0.0</v>
      </c>
      <c r="X268" s="4">
        <f t="shared" si="1"/>
        <v>142.1</v>
      </c>
      <c r="Y268" s="4">
        <f t="shared" si="2"/>
        <v>8.88125</v>
      </c>
    </row>
    <row r="269">
      <c r="A269" s="1" t="s">
        <v>459</v>
      </c>
      <c r="B269" s="1" t="s">
        <v>68</v>
      </c>
      <c r="C269" s="1" t="s">
        <v>227</v>
      </c>
      <c r="D269" s="2" t="s">
        <v>35</v>
      </c>
      <c r="E269" s="2" t="s">
        <v>28</v>
      </c>
      <c r="F269" s="3">
        <v>29.0</v>
      </c>
      <c r="G269" s="3">
        <v>12.0</v>
      </c>
      <c r="H269" s="3">
        <v>0.0</v>
      </c>
      <c r="I269" s="3">
        <v>0.0</v>
      </c>
      <c r="J269" s="3">
        <v>0.0</v>
      </c>
      <c r="K269" s="3">
        <v>0.0</v>
      </c>
      <c r="L269" s="3">
        <v>0.0</v>
      </c>
      <c r="M269" s="3">
        <v>16.0</v>
      </c>
      <c r="N269" s="3">
        <v>325.0</v>
      </c>
      <c r="O269" s="3">
        <v>0.0</v>
      </c>
      <c r="P269" s="3">
        <v>1.0</v>
      </c>
      <c r="Q269" s="3">
        <v>0.0</v>
      </c>
      <c r="R269" s="3">
        <v>0.0</v>
      </c>
      <c r="S269" s="3">
        <v>0.0</v>
      </c>
      <c r="T269" s="3">
        <v>0.0</v>
      </c>
      <c r="U269" s="3">
        <v>0.0</v>
      </c>
      <c r="V269" s="3">
        <v>0.0</v>
      </c>
      <c r="W269" s="3">
        <v>0.0</v>
      </c>
      <c r="X269" s="4">
        <f t="shared" si="1"/>
        <v>46.5</v>
      </c>
      <c r="Y269" s="4">
        <f t="shared" si="2"/>
        <v>3.875</v>
      </c>
    </row>
    <row r="270">
      <c r="A270" s="1" t="s">
        <v>460</v>
      </c>
      <c r="B270" s="1" t="s">
        <v>188</v>
      </c>
      <c r="C270" s="1" t="s">
        <v>62</v>
      </c>
      <c r="D270" s="2" t="s">
        <v>207</v>
      </c>
      <c r="E270" s="2" t="s">
        <v>36</v>
      </c>
      <c r="F270" s="3">
        <v>25.0</v>
      </c>
      <c r="G270" s="3">
        <v>16.0</v>
      </c>
      <c r="H270" s="3">
        <v>0.0</v>
      </c>
      <c r="I270" s="3">
        <v>0.0</v>
      </c>
      <c r="J270" s="3">
        <v>0.0</v>
      </c>
      <c r="K270" s="3">
        <v>1312.0</v>
      </c>
      <c r="L270" s="3">
        <v>10.0</v>
      </c>
      <c r="M270" s="3">
        <v>57.0</v>
      </c>
      <c r="N270" s="3">
        <v>338.0</v>
      </c>
      <c r="O270" s="3">
        <v>0.0</v>
      </c>
      <c r="P270" s="3">
        <v>1.0</v>
      </c>
      <c r="Q270" s="3">
        <v>1.0</v>
      </c>
      <c r="R270" s="3">
        <v>0.0</v>
      </c>
      <c r="S270" s="3">
        <v>0.0</v>
      </c>
      <c r="T270" s="3">
        <v>0.0</v>
      </c>
      <c r="U270" s="3">
        <v>0.0</v>
      </c>
      <c r="V270" s="3">
        <v>0.0</v>
      </c>
      <c r="W270" s="3">
        <v>0.0</v>
      </c>
      <c r="X270" s="4">
        <f t="shared" si="1"/>
        <v>282</v>
      </c>
      <c r="Y270" s="4">
        <f t="shared" si="2"/>
        <v>17.625</v>
      </c>
    </row>
    <row r="271">
      <c r="A271" s="1" t="s">
        <v>461</v>
      </c>
      <c r="B271" s="1" t="s">
        <v>41</v>
      </c>
      <c r="C271" s="1" t="s">
        <v>42</v>
      </c>
      <c r="D271" s="2" t="s">
        <v>77</v>
      </c>
      <c r="E271" s="2" t="s">
        <v>51</v>
      </c>
      <c r="F271" s="3">
        <v>26.0</v>
      </c>
      <c r="G271" s="3">
        <v>13.0</v>
      </c>
      <c r="H271" s="3">
        <v>0.0</v>
      </c>
      <c r="I271" s="3">
        <v>0.0</v>
      </c>
      <c r="J271" s="3">
        <v>0.0</v>
      </c>
      <c r="K271" s="3">
        <v>0.0</v>
      </c>
      <c r="L271" s="3">
        <v>0.0</v>
      </c>
      <c r="M271" s="3">
        <v>11.0</v>
      </c>
      <c r="N271" s="3">
        <v>60.0</v>
      </c>
      <c r="O271" s="3">
        <v>4.0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0.0</v>
      </c>
      <c r="V271" s="3">
        <v>0.0</v>
      </c>
      <c r="W271" s="3">
        <v>0.0</v>
      </c>
      <c r="X271" s="4">
        <f t="shared" si="1"/>
        <v>41</v>
      </c>
      <c r="Y271" s="4">
        <f t="shared" si="2"/>
        <v>3.153846154</v>
      </c>
    </row>
    <row r="272">
      <c r="A272" s="1" t="s">
        <v>462</v>
      </c>
      <c r="B272" s="1" t="s">
        <v>30</v>
      </c>
      <c r="C272" s="1" t="s">
        <v>30</v>
      </c>
      <c r="D272" s="2" t="s">
        <v>95</v>
      </c>
      <c r="E272" s="2" t="s">
        <v>28</v>
      </c>
      <c r="F272" s="3">
        <v>24.0</v>
      </c>
      <c r="G272" s="3">
        <v>17.0</v>
      </c>
      <c r="H272" s="3">
        <v>0.0</v>
      </c>
      <c r="I272" s="3">
        <v>0.0</v>
      </c>
      <c r="J272" s="3">
        <v>0.0</v>
      </c>
      <c r="K272" s="3">
        <v>0.0</v>
      </c>
      <c r="L272" s="3">
        <v>0.0</v>
      </c>
      <c r="M272" s="3">
        <v>22.0</v>
      </c>
      <c r="N272" s="3">
        <v>296.0</v>
      </c>
      <c r="O272" s="3">
        <v>2.0</v>
      </c>
      <c r="P272" s="3">
        <v>4.0</v>
      </c>
      <c r="Q272" s="3">
        <v>0.0</v>
      </c>
      <c r="R272" s="3">
        <v>0.0</v>
      </c>
      <c r="S272" s="3">
        <v>0.0</v>
      </c>
      <c r="T272" s="3">
        <v>0.0</v>
      </c>
      <c r="U272" s="3">
        <v>0.0</v>
      </c>
      <c r="V272" s="3">
        <v>0.0</v>
      </c>
      <c r="W272" s="3">
        <v>0.0</v>
      </c>
      <c r="X272" s="4">
        <f t="shared" si="1"/>
        <v>55.6</v>
      </c>
      <c r="Y272" s="4">
        <f t="shared" si="2"/>
        <v>3.270588235</v>
      </c>
    </row>
    <row r="273">
      <c r="A273" s="1" t="s">
        <v>463</v>
      </c>
      <c r="B273" s="1" t="s">
        <v>45</v>
      </c>
      <c r="C273" s="1" t="s">
        <v>45</v>
      </c>
      <c r="D273" s="2" t="s">
        <v>223</v>
      </c>
      <c r="E273" s="2" t="s">
        <v>28</v>
      </c>
      <c r="F273" s="3">
        <v>29.0</v>
      </c>
      <c r="G273" s="3">
        <v>16.0</v>
      </c>
      <c r="H273" s="3">
        <v>0.0</v>
      </c>
      <c r="I273" s="3">
        <v>0.0</v>
      </c>
      <c r="J273" s="3">
        <v>0.0</v>
      </c>
      <c r="K273" s="3">
        <v>-3.0</v>
      </c>
      <c r="L273" s="3">
        <v>0.0</v>
      </c>
      <c r="M273" s="3">
        <v>108.0</v>
      </c>
      <c r="N273" s="3">
        <v>1429.0</v>
      </c>
      <c r="O273" s="3">
        <v>11.0</v>
      </c>
      <c r="P273" s="3">
        <v>1.0</v>
      </c>
      <c r="Q273" s="3">
        <v>0.0</v>
      </c>
      <c r="R273" s="3">
        <v>0.0</v>
      </c>
      <c r="S273" s="3">
        <v>0.0</v>
      </c>
      <c r="T273" s="3">
        <v>0.0</v>
      </c>
      <c r="U273" s="3">
        <v>0.0</v>
      </c>
      <c r="V273" s="3">
        <v>0.0</v>
      </c>
      <c r="W273" s="3">
        <v>0.0</v>
      </c>
      <c r="X273" s="4">
        <f t="shared" si="1"/>
        <v>314.6</v>
      </c>
      <c r="Y273" s="4">
        <f t="shared" si="2"/>
        <v>19.6625</v>
      </c>
    </row>
    <row r="274">
      <c r="A274" s="1" t="s">
        <v>464</v>
      </c>
      <c r="B274" s="1" t="s">
        <v>58</v>
      </c>
      <c r="C274" s="1" t="s">
        <v>58</v>
      </c>
      <c r="D274" s="2" t="s">
        <v>43</v>
      </c>
      <c r="E274" s="2" t="s">
        <v>51</v>
      </c>
      <c r="F274" s="3">
        <v>25.0</v>
      </c>
      <c r="G274" s="3">
        <v>17.0</v>
      </c>
      <c r="H274" s="3">
        <v>0.0</v>
      </c>
      <c r="I274" s="3">
        <v>0.0</v>
      </c>
      <c r="J274" s="3">
        <v>0.0</v>
      </c>
      <c r="K274" s="3">
        <v>0.0</v>
      </c>
      <c r="L274" s="3">
        <v>0.0</v>
      </c>
      <c r="M274" s="3">
        <v>86.0</v>
      </c>
      <c r="N274" s="3">
        <v>914.0</v>
      </c>
      <c r="O274" s="3">
        <v>6.0</v>
      </c>
      <c r="P274" s="3">
        <v>1.0</v>
      </c>
      <c r="Q274" s="3">
        <v>2.0</v>
      </c>
      <c r="R274" s="3">
        <v>0.0</v>
      </c>
      <c r="S274" s="3">
        <v>0.0</v>
      </c>
      <c r="T274" s="3">
        <v>0.0</v>
      </c>
      <c r="U274" s="3">
        <v>0.0</v>
      </c>
      <c r="V274" s="3">
        <v>0.0</v>
      </c>
      <c r="W274" s="3">
        <v>0.0</v>
      </c>
      <c r="X274" s="4">
        <f t="shared" si="1"/>
        <v>215.4</v>
      </c>
      <c r="Y274" s="4">
        <f t="shared" si="2"/>
        <v>12.67058824</v>
      </c>
    </row>
    <row r="275">
      <c r="A275" s="1" t="s">
        <v>465</v>
      </c>
      <c r="B275" s="1" t="s">
        <v>31</v>
      </c>
      <c r="C275" s="1" t="s">
        <v>466</v>
      </c>
      <c r="D275" s="2" t="s">
        <v>83</v>
      </c>
      <c r="E275" s="2" t="s">
        <v>39</v>
      </c>
      <c r="F275" s="3">
        <v>29.0</v>
      </c>
      <c r="G275" s="3">
        <v>9.0</v>
      </c>
      <c r="H275" s="3">
        <v>1859.0</v>
      </c>
      <c r="I275" s="3">
        <v>12.0</v>
      </c>
      <c r="J275" s="3">
        <v>6.0</v>
      </c>
      <c r="K275" s="3">
        <v>96.0</v>
      </c>
      <c r="L275" s="3">
        <v>1.0</v>
      </c>
      <c r="M275" s="3">
        <v>0.0</v>
      </c>
      <c r="N275" s="3">
        <v>0.0</v>
      </c>
      <c r="O275" s="3">
        <v>0.0</v>
      </c>
      <c r="P275" s="3">
        <v>7.0</v>
      </c>
      <c r="Q275" s="3">
        <v>0.0</v>
      </c>
      <c r="R275" s="3">
        <v>0.0</v>
      </c>
      <c r="S275" s="3">
        <v>0.0</v>
      </c>
      <c r="T275" s="3">
        <v>0.0</v>
      </c>
      <c r="U275" s="3">
        <v>0.0</v>
      </c>
      <c r="V275" s="3">
        <v>0.0</v>
      </c>
      <c r="W275" s="3">
        <v>0.0</v>
      </c>
      <c r="X275" s="4">
        <f t="shared" si="1"/>
        <v>111.96</v>
      </c>
      <c r="Y275" s="4">
        <f t="shared" si="2"/>
        <v>12.44</v>
      </c>
    </row>
    <row r="276">
      <c r="A276" s="1" t="s">
        <v>467</v>
      </c>
      <c r="B276" s="1" t="s">
        <v>468</v>
      </c>
      <c r="C276" s="1" t="s">
        <v>304</v>
      </c>
      <c r="D276" s="2" t="s">
        <v>66</v>
      </c>
      <c r="E276" s="2" t="s">
        <v>51</v>
      </c>
      <c r="F276" s="3">
        <v>32.0</v>
      </c>
      <c r="G276" s="3">
        <v>16.0</v>
      </c>
      <c r="H276" s="3">
        <v>240.0</v>
      </c>
      <c r="I276" s="3">
        <v>2.0</v>
      </c>
      <c r="J276" s="3">
        <v>0.0</v>
      </c>
      <c r="K276" s="3">
        <v>575.0</v>
      </c>
      <c r="L276" s="3">
        <v>7.0</v>
      </c>
      <c r="M276" s="3">
        <v>9.0</v>
      </c>
      <c r="N276" s="3">
        <v>77.0</v>
      </c>
      <c r="O276" s="3">
        <v>2.0</v>
      </c>
      <c r="P276" s="3">
        <v>2.0</v>
      </c>
      <c r="Q276" s="3">
        <v>0.0</v>
      </c>
      <c r="R276" s="3">
        <v>0.0</v>
      </c>
      <c r="S276" s="3">
        <v>0.0</v>
      </c>
      <c r="T276" s="3">
        <v>0.0</v>
      </c>
      <c r="U276" s="3">
        <v>0.0</v>
      </c>
      <c r="V276" s="3">
        <v>0.0</v>
      </c>
      <c r="W276" s="3">
        <v>0.0</v>
      </c>
      <c r="X276" s="4">
        <f t="shared" si="1"/>
        <v>141.8</v>
      </c>
      <c r="Y276" s="4">
        <f t="shared" si="2"/>
        <v>8.8625</v>
      </c>
    </row>
    <row r="277">
      <c r="A277" s="1" t="s">
        <v>469</v>
      </c>
      <c r="B277" s="1" t="s">
        <v>65</v>
      </c>
      <c r="C277" s="1" t="s">
        <v>227</v>
      </c>
      <c r="D277" s="2" t="s">
        <v>253</v>
      </c>
      <c r="E277" s="2" t="s">
        <v>28</v>
      </c>
      <c r="F277" s="3">
        <v>23.0</v>
      </c>
      <c r="G277" s="3">
        <v>16.0</v>
      </c>
      <c r="H277" s="3">
        <v>0.0</v>
      </c>
      <c r="I277" s="3">
        <v>0.0</v>
      </c>
      <c r="J277" s="3">
        <v>0.0</v>
      </c>
      <c r="K277" s="3">
        <v>0.0</v>
      </c>
      <c r="L277" s="3">
        <v>0.0</v>
      </c>
      <c r="M277" s="3">
        <v>74.0</v>
      </c>
      <c r="N277" s="3">
        <v>1029.0</v>
      </c>
      <c r="O277" s="3">
        <v>7.0</v>
      </c>
      <c r="P277" s="3">
        <v>0.0</v>
      </c>
      <c r="Q277" s="3">
        <v>1.0</v>
      </c>
      <c r="R277" s="3">
        <v>0.0</v>
      </c>
      <c r="S277" s="3">
        <v>0.0</v>
      </c>
      <c r="T277" s="3">
        <v>0.0</v>
      </c>
      <c r="U277" s="3">
        <v>0.0</v>
      </c>
      <c r="V277" s="3">
        <v>0.0</v>
      </c>
      <c r="W277" s="3">
        <v>0.0</v>
      </c>
      <c r="X277" s="4">
        <f t="shared" si="1"/>
        <v>220.9</v>
      </c>
      <c r="Y277" s="4">
        <f t="shared" si="2"/>
        <v>13.80625</v>
      </c>
    </row>
    <row r="278">
      <c r="A278" s="1" t="s">
        <v>470</v>
      </c>
      <c r="B278" s="1" t="s">
        <v>100</v>
      </c>
      <c r="C278" s="1" t="s">
        <v>131</v>
      </c>
      <c r="D278" s="2" t="s">
        <v>95</v>
      </c>
      <c r="E278" s="2" t="s">
        <v>28</v>
      </c>
      <c r="F278" s="3">
        <v>22.0</v>
      </c>
      <c r="G278" s="3">
        <v>14.0</v>
      </c>
      <c r="H278" s="3">
        <v>0.0</v>
      </c>
      <c r="I278" s="3">
        <v>0.0</v>
      </c>
      <c r="J278" s="3">
        <v>0.0</v>
      </c>
      <c r="K278" s="3">
        <v>0.0</v>
      </c>
      <c r="L278" s="3">
        <v>0.0</v>
      </c>
      <c r="M278" s="3">
        <v>28.0</v>
      </c>
      <c r="N278" s="3">
        <v>490.0</v>
      </c>
      <c r="O278" s="3">
        <v>1.0</v>
      </c>
      <c r="P278" s="3">
        <v>2.0</v>
      </c>
      <c r="Q278" s="3">
        <v>0.0</v>
      </c>
      <c r="R278" s="3">
        <v>0.0</v>
      </c>
      <c r="S278" s="3">
        <v>0.0</v>
      </c>
      <c r="T278" s="3">
        <v>0.0</v>
      </c>
      <c r="U278" s="3">
        <v>0.0</v>
      </c>
      <c r="V278" s="3">
        <v>0.0</v>
      </c>
      <c r="W278" s="3">
        <v>0.0</v>
      </c>
      <c r="X278" s="4">
        <f t="shared" si="1"/>
        <v>79</v>
      </c>
      <c r="Y278" s="4">
        <f t="shared" si="2"/>
        <v>5.642857143</v>
      </c>
    </row>
    <row r="279">
      <c r="A279" s="1" t="s">
        <v>471</v>
      </c>
      <c r="B279" s="1" t="s">
        <v>97</v>
      </c>
      <c r="C279" s="1" t="s">
        <v>161</v>
      </c>
      <c r="D279" s="2" t="s">
        <v>83</v>
      </c>
      <c r="E279" s="2" t="s">
        <v>28</v>
      </c>
      <c r="F279" s="3">
        <v>27.0</v>
      </c>
      <c r="G279" s="3">
        <v>17.0</v>
      </c>
      <c r="H279" s="3">
        <v>0.0</v>
      </c>
      <c r="I279" s="3">
        <v>0.0</v>
      </c>
      <c r="J279" s="3">
        <v>0.0</v>
      </c>
      <c r="K279" s="3">
        <v>29.0</v>
      </c>
      <c r="L279" s="3">
        <v>0.0</v>
      </c>
      <c r="M279" s="3">
        <v>77.0</v>
      </c>
      <c r="N279" s="3">
        <v>1191.0</v>
      </c>
      <c r="O279" s="3">
        <v>5.0</v>
      </c>
      <c r="P279" s="3">
        <v>1.0</v>
      </c>
      <c r="Q279" s="3">
        <v>0.0</v>
      </c>
      <c r="R279" s="3">
        <v>0.0</v>
      </c>
      <c r="S279" s="3">
        <v>0.0</v>
      </c>
      <c r="T279" s="3">
        <v>0.0</v>
      </c>
      <c r="U279" s="3">
        <v>0.0</v>
      </c>
      <c r="V279" s="3">
        <v>0.0</v>
      </c>
      <c r="W279" s="3">
        <v>0.0</v>
      </c>
      <c r="X279" s="4">
        <f t="shared" si="1"/>
        <v>227</v>
      </c>
      <c r="Y279" s="4">
        <f t="shared" si="2"/>
        <v>13.35294118</v>
      </c>
    </row>
    <row r="280">
      <c r="A280" s="1" t="s">
        <v>472</v>
      </c>
      <c r="B280" s="1" t="s">
        <v>38</v>
      </c>
      <c r="C280" s="1" t="s">
        <v>61</v>
      </c>
      <c r="D280" s="2" t="s">
        <v>129</v>
      </c>
      <c r="E280" s="2" t="s">
        <v>39</v>
      </c>
      <c r="F280" s="3">
        <v>45.0</v>
      </c>
      <c r="G280" s="3">
        <v>17.0</v>
      </c>
      <c r="H280" s="3">
        <v>4694.0</v>
      </c>
      <c r="I280" s="3">
        <v>25.0</v>
      </c>
      <c r="J280" s="3">
        <v>9.0</v>
      </c>
      <c r="K280" s="3">
        <v>-1.0</v>
      </c>
      <c r="L280" s="3">
        <v>1.0</v>
      </c>
      <c r="M280" s="3">
        <v>0.0</v>
      </c>
      <c r="N280" s="3">
        <v>0.0</v>
      </c>
      <c r="O280" s="3">
        <v>0.0</v>
      </c>
      <c r="P280" s="3">
        <v>5.0</v>
      </c>
      <c r="Q280" s="3">
        <v>0.0</v>
      </c>
      <c r="R280" s="3">
        <v>0.0</v>
      </c>
      <c r="S280" s="3">
        <v>0.0</v>
      </c>
      <c r="T280" s="3">
        <v>0.0</v>
      </c>
      <c r="U280" s="3">
        <v>0.0</v>
      </c>
      <c r="V280" s="3">
        <v>0.0</v>
      </c>
      <c r="W280" s="3">
        <v>0.0</v>
      </c>
      <c r="X280" s="4">
        <f t="shared" si="1"/>
        <v>265.66</v>
      </c>
      <c r="Y280" s="4">
        <f t="shared" si="2"/>
        <v>15.62705882</v>
      </c>
    </row>
    <row r="281">
      <c r="A281" s="1" t="s">
        <v>473</v>
      </c>
      <c r="B281" s="1" t="s">
        <v>31</v>
      </c>
      <c r="C281" s="1" t="s">
        <v>98</v>
      </c>
      <c r="D281" s="2" t="s">
        <v>95</v>
      </c>
      <c r="E281" s="2" t="s">
        <v>51</v>
      </c>
      <c r="F281" s="3">
        <v>22.0</v>
      </c>
      <c r="G281" s="3">
        <v>17.0</v>
      </c>
      <c r="H281" s="3">
        <v>0.0</v>
      </c>
      <c r="I281" s="3">
        <v>0.0</v>
      </c>
      <c r="J281" s="3">
        <v>0.0</v>
      </c>
      <c r="K281" s="3">
        <v>0.0</v>
      </c>
      <c r="L281" s="3">
        <v>0.0</v>
      </c>
      <c r="M281" s="3">
        <v>19.0</v>
      </c>
      <c r="N281" s="3">
        <v>174.0</v>
      </c>
      <c r="O281" s="3">
        <v>3.0</v>
      </c>
      <c r="P281" s="3">
        <v>1.0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  <c r="X281" s="4">
        <f t="shared" si="1"/>
        <v>52.4</v>
      </c>
      <c r="Y281" s="4">
        <f t="shared" si="2"/>
        <v>3.082352941</v>
      </c>
    </row>
    <row r="282">
      <c r="A282" s="1" t="s">
        <v>474</v>
      </c>
      <c r="B282" s="1" t="s">
        <v>65</v>
      </c>
      <c r="C282" s="1" t="s">
        <v>82</v>
      </c>
      <c r="D282" s="2" t="s">
        <v>118</v>
      </c>
      <c r="E282" s="2" t="s">
        <v>36</v>
      </c>
      <c r="F282" s="3">
        <v>25.0</v>
      </c>
      <c r="G282" s="3">
        <v>16.0</v>
      </c>
      <c r="H282" s="3">
        <v>0.0</v>
      </c>
      <c r="I282" s="3">
        <v>0.0</v>
      </c>
      <c r="J282" s="3">
        <v>0.0</v>
      </c>
      <c r="K282" s="3">
        <v>1007.0</v>
      </c>
      <c r="L282" s="3">
        <v>9.0</v>
      </c>
      <c r="M282" s="3">
        <v>39.0</v>
      </c>
      <c r="N282" s="3">
        <v>371.0</v>
      </c>
      <c r="O282" s="3">
        <v>3.0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  <c r="W282" s="3">
        <v>0.0</v>
      </c>
      <c r="X282" s="4">
        <f t="shared" si="1"/>
        <v>248.8</v>
      </c>
      <c r="Y282" s="4">
        <f t="shared" si="2"/>
        <v>15.55</v>
      </c>
    </row>
    <row r="283">
      <c r="A283" s="1" t="s">
        <v>475</v>
      </c>
      <c r="B283" s="1" t="s">
        <v>100</v>
      </c>
      <c r="C283" s="1" t="s">
        <v>227</v>
      </c>
      <c r="D283" s="2" t="s">
        <v>164</v>
      </c>
      <c r="E283" s="2" t="s">
        <v>36</v>
      </c>
      <c r="F283" s="3">
        <v>23.0</v>
      </c>
      <c r="G283" s="3">
        <v>17.0</v>
      </c>
      <c r="H283" s="3">
        <v>0.0</v>
      </c>
      <c r="I283" s="3">
        <v>0.0</v>
      </c>
      <c r="J283" s="3">
        <v>0.0</v>
      </c>
      <c r="K283" s="3">
        <v>1125.0</v>
      </c>
      <c r="L283" s="3">
        <v>5.0</v>
      </c>
      <c r="M283" s="3">
        <v>35.0</v>
      </c>
      <c r="N283" s="3">
        <v>316.0</v>
      </c>
      <c r="O283" s="3">
        <v>0.0</v>
      </c>
      <c r="P283" s="3">
        <v>5.0</v>
      </c>
      <c r="Q283" s="3">
        <v>1.0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  <c r="X283" s="4">
        <f t="shared" si="1"/>
        <v>201.1</v>
      </c>
      <c r="Y283" s="4">
        <f t="shared" si="2"/>
        <v>11.82941176</v>
      </c>
    </row>
    <row r="284">
      <c r="A284" s="1" t="s">
        <v>476</v>
      </c>
      <c r="B284" s="1" t="s">
        <v>68</v>
      </c>
      <c r="C284" s="1" t="s">
        <v>115</v>
      </c>
      <c r="D284" s="2" t="s">
        <v>174</v>
      </c>
      <c r="E284" s="2" t="s">
        <v>36</v>
      </c>
      <c r="F284" s="3">
        <v>24.0</v>
      </c>
      <c r="G284" s="3">
        <v>10.0</v>
      </c>
      <c r="H284" s="3">
        <v>0.0</v>
      </c>
      <c r="I284" s="3">
        <v>0.0</v>
      </c>
      <c r="J284" s="3">
        <v>0.0</v>
      </c>
      <c r="K284" s="3">
        <v>74.0</v>
      </c>
      <c r="L284" s="3">
        <v>0.0</v>
      </c>
      <c r="M284" s="3">
        <v>16.0</v>
      </c>
      <c r="N284" s="3">
        <v>157.0</v>
      </c>
      <c r="O284" s="3">
        <v>1.0</v>
      </c>
      <c r="P284" s="3">
        <v>1.0</v>
      </c>
      <c r="Q284" s="3">
        <v>0.0</v>
      </c>
      <c r="R284" s="3">
        <v>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  <c r="X284" s="4">
        <f t="shared" si="1"/>
        <v>43.1</v>
      </c>
      <c r="Y284" s="4">
        <f t="shared" si="2"/>
        <v>4.31</v>
      </c>
    </row>
    <row r="285">
      <c r="A285" s="1" t="s">
        <v>477</v>
      </c>
      <c r="B285" s="1" t="s">
        <v>85</v>
      </c>
      <c r="C285" s="1" t="s">
        <v>53</v>
      </c>
      <c r="D285" s="2" t="s">
        <v>172</v>
      </c>
      <c r="E285" s="2" t="s">
        <v>51</v>
      </c>
      <c r="F285" s="3">
        <v>33.0</v>
      </c>
      <c r="G285" s="3">
        <v>17.0</v>
      </c>
      <c r="H285" s="3">
        <v>0.0</v>
      </c>
      <c r="I285" s="3">
        <v>0.0</v>
      </c>
      <c r="J285" s="3">
        <v>0.0</v>
      </c>
      <c r="K285" s="3">
        <v>5.0</v>
      </c>
      <c r="L285" s="3">
        <v>0.0</v>
      </c>
      <c r="M285" s="3">
        <v>110.0</v>
      </c>
      <c r="N285" s="3">
        <v>1338.0</v>
      </c>
      <c r="O285" s="3">
        <v>12.0</v>
      </c>
      <c r="P285" s="3">
        <v>1.0</v>
      </c>
      <c r="Q285" s="3">
        <v>1.0</v>
      </c>
      <c r="R285" s="3">
        <v>0.0</v>
      </c>
      <c r="S285" s="3">
        <v>0.0</v>
      </c>
      <c r="T285" s="3">
        <v>0.0</v>
      </c>
      <c r="U285" s="3">
        <v>0.0</v>
      </c>
      <c r="V285" s="3">
        <v>0.0</v>
      </c>
      <c r="W285" s="3">
        <v>0.0</v>
      </c>
      <c r="X285" s="4">
        <f t="shared" si="1"/>
        <v>316.3</v>
      </c>
      <c r="Y285" s="4">
        <f t="shared" si="2"/>
        <v>18.60588235</v>
      </c>
    </row>
    <row r="286">
      <c r="A286" s="1" t="s">
        <v>478</v>
      </c>
      <c r="B286" s="1" t="s">
        <v>68</v>
      </c>
      <c r="C286" s="1" t="s">
        <v>257</v>
      </c>
      <c r="D286" s="2" t="s">
        <v>66</v>
      </c>
      <c r="E286" s="2" t="s">
        <v>28</v>
      </c>
      <c r="F286" s="3">
        <v>26.0</v>
      </c>
      <c r="G286" s="3">
        <v>15.0</v>
      </c>
      <c r="H286" s="3">
        <v>0.0</v>
      </c>
      <c r="I286" s="3">
        <v>0.0</v>
      </c>
      <c r="J286" s="3">
        <v>0.0</v>
      </c>
      <c r="K286" s="3">
        <v>0.0</v>
      </c>
      <c r="L286" s="3">
        <v>0.0</v>
      </c>
      <c r="M286" s="3">
        <v>19.0</v>
      </c>
      <c r="N286" s="3">
        <v>278.0</v>
      </c>
      <c r="O286" s="3">
        <v>1.0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0.0</v>
      </c>
      <c r="V286" s="3">
        <v>0.0</v>
      </c>
      <c r="W286" s="3">
        <v>0.0</v>
      </c>
      <c r="X286" s="4">
        <f t="shared" si="1"/>
        <v>52.8</v>
      </c>
      <c r="Y286" s="4">
        <f t="shared" si="2"/>
        <v>3.52</v>
      </c>
    </row>
    <row r="287">
      <c r="A287" s="1" t="s">
        <v>479</v>
      </c>
      <c r="B287" s="1" t="s">
        <v>48</v>
      </c>
      <c r="C287" s="1" t="s">
        <v>480</v>
      </c>
      <c r="D287" s="2" t="s">
        <v>152</v>
      </c>
      <c r="E287" s="2" t="s">
        <v>28</v>
      </c>
      <c r="F287" s="3">
        <v>26.0</v>
      </c>
      <c r="G287" s="3">
        <v>17.0</v>
      </c>
      <c r="H287" s="3">
        <v>0.0</v>
      </c>
      <c r="I287" s="3">
        <v>0.0</v>
      </c>
      <c r="J287" s="3">
        <v>0.0</v>
      </c>
      <c r="K287" s="3">
        <v>0.0</v>
      </c>
      <c r="L287" s="3">
        <v>0.0</v>
      </c>
      <c r="M287" s="3">
        <v>30.0</v>
      </c>
      <c r="N287" s="3">
        <v>417.0</v>
      </c>
      <c r="O287" s="3">
        <v>2.0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0.0</v>
      </c>
      <c r="V287" s="3">
        <v>0.0</v>
      </c>
      <c r="W287" s="3">
        <v>0.0</v>
      </c>
      <c r="X287" s="4">
        <f t="shared" si="1"/>
        <v>83.7</v>
      </c>
      <c r="Y287" s="4">
        <f t="shared" si="2"/>
        <v>4.923529412</v>
      </c>
    </row>
    <row r="288">
      <c r="A288" s="1" t="s">
        <v>481</v>
      </c>
      <c r="B288" s="1" t="s">
        <v>65</v>
      </c>
      <c r="C288" s="1" t="s">
        <v>227</v>
      </c>
      <c r="D288" s="2" t="s">
        <v>164</v>
      </c>
      <c r="E288" s="2" t="s">
        <v>39</v>
      </c>
      <c r="F288" s="3">
        <v>23.0</v>
      </c>
      <c r="G288" s="3">
        <v>17.0</v>
      </c>
      <c r="H288" s="3">
        <v>4113.0</v>
      </c>
      <c r="I288" s="3">
        <v>25.0</v>
      </c>
      <c r="J288" s="3">
        <v>8.0</v>
      </c>
      <c r="K288" s="3">
        <v>291.0</v>
      </c>
      <c r="L288" s="3">
        <v>5.0</v>
      </c>
      <c r="M288" s="3">
        <v>0.0</v>
      </c>
      <c r="N288" s="3">
        <v>0.0</v>
      </c>
      <c r="O288" s="3">
        <v>0.0</v>
      </c>
      <c r="P288" s="3">
        <v>12.0</v>
      </c>
      <c r="Q288" s="3">
        <v>0.0</v>
      </c>
      <c r="R288" s="3">
        <v>0.0</v>
      </c>
      <c r="S288" s="3">
        <v>0.0</v>
      </c>
      <c r="T288" s="3">
        <v>0.0</v>
      </c>
      <c r="U288" s="3">
        <v>0.0</v>
      </c>
      <c r="V288" s="3">
        <v>0.0</v>
      </c>
      <c r="W288" s="3">
        <v>0.0</v>
      </c>
      <c r="X288" s="4">
        <f t="shared" si="1"/>
        <v>283.62</v>
      </c>
      <c r="Y288" s="4">
        <f t="shared" si="2"/>
        <v>16.68352941</v>
      </c>
    </row>
    <row r="289">
      <c r="A289" s="1" t="s">
        <v>482</v>
      </c>
      <c r="B289" s="1" t="s">
        <v>166</v>
      </c>
      <c r="C289" s="1" t="s">
        <v>405</v>
      </c>
      <c r="D289" s="2" t="s">
        <v>32</v>
      </c>
      <c r="E289" s="2" t="s">
        <v>51</v>
      </c>
      <c r="F289" s="3">
        <v>23.0</v>
      </c>
      <c r="G289" s="3">
        <v>16.0</v>
      </c>
      <c r="H289" s="3">
        <v>0.0</v>
      </c>
      <c r="I289" s="3">
        <v>0.0</v>
      </c>
      <c r="J289" s="3">
        <v>0.0</v>
      </c>
      <c r="K289" s="3">
        <v>0.0</v>
      </c>
      <c r="L289" s="3">
        <v>0.0</v>
      </c>
      <c r="M289" s="3">
        <v>29.0</v>
      </c>
      <c r="N289" s="3">
        <v>265.0</v>
      </c>
      <c r="O289" s="3">
        <v>1.0</v>
      </c>
      <c r="P289" s="3">
        <v>1.0</v>
      </c>
      <c r="Q289" s="3">
        <v>0.0</v>
      </c>
      <c r="R289" s="3">
        <v>0.0</v>
      </c>
      <c r="S289" s="3">
        <v>0.0</v>
      </c>
      <c r="T289" s="3">
        <v>0.0</v>
      </c>
      <c r="U289" s="3">
        <v>0.0</v>
      </c>
      <c r="V289" s="3">
        <v>0.0</v>
      </c>
      <c r="W289" s="3">
        <v>0.0</v>
      </c>
      <c r="X289" s="4">
        <f t="shared" si="1"/>
        <v>59.5</v>
      </c>
      <c r="Y289" s="4">
        <f t="shared" si="2"/>
        <v>3.71875</v>
      </c>
    </row>
    <row r="290">
      <c r="A290" s="1" t="s">
        <v>483</v>
      </c>
      <c r="B290" s="1" t="s">
        <v>284</v>
      </c>
      <c r="C290" s="1" t="s">
        <v>284</v>
      </c>
      <c r="D290" s="2" t="s">
        <v>92</v>
      </c>
      <c r="E290" s="2" t="s">
        <v>28</v>
      </c>
      <c r="F290" s="3">
        <v>22.0</v>
      </c>
      <c r="G290" s="3">
        <v>11.0</v>
      </c>
      <c r="H290" s="3">
        <v>0.0</v>
      </c>
      <c r="I290" s="3">
        <v>0.0</v>
      </c>
      <c r="J290" s="3">
        <v>0.0</v>
      </c>
      <c r="K290" s="3">
        <v>47.0</v>
      </c>
      <c r="L290" s="3">
        <v>0.0</v>
      </c>
      <c r="M290" s="3">
        <v>33.0</v>
      </c>
      <c r="N290" s="3">
        <v>444.0</v>
      </c>
      <c r="O290" s="3">
        <v>1.0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0.0</v>
      </c>
      <c r="V290" s="3">
        <v>0.0</v>
      </c>
      <c r="W290" s="3">
        <v>0.0</v>
      </c>
      <c r="X290" s="4">
        <f t="shared" si="1"/>
        <v>88.1</v>
      </c>
      <c r="Y290" s="4">
        <f t="shared" si="2"/>
        <v>8.009090909</v>
      </c>
    </row>
    <row r="291">
      <c r="A291" s="1" t="s">
        <v>484</v>
      </c>
      <c r="B291" s="1" t="s">
        <v>359</v>
      </c>
      <c r="C291" s="1" t="s">
        <v>69</v>
      </c>
      <c r="D291" s="2" t="s">
        <v>152</v>
      </c>
      <c r="E291" s="2" t="s">
        <v>39</v>
      </c>
      <c r="F291" s="3">
        <v>24.0</v>
      </c>
      <c r="G291" s="3">
        <v>13.0</v>
      </c>
      <c r="H291" s="3">
        <v>3548.0</v>
      </c>
      <c r="I291" s="3">
        <v>25.0</v>
      </c>
      <c r="J291" s="3">
        <v>8.0</v>
      </c>
      <c r="K291" s="3">
        <v>70.0</v>
      </c>
      <c r="L291" s="3">
        <v>0.0</v>
      </c>
      <c r="M291" s="3">
        <v>0.0</v>
      </c>
      <c r="N291" s="3">
        <v>0.0</v>
      </c>
      <c r="O291" s="3">
        <v>0.0</v>
      </c>
      <c r="P291" s="3">
        <v>6.0</v>
      </c>
      <c r="Q291" s="3">
        <v>0.0</v>
      </c>
      <c r="R291" s="3">
        <v>0.0</v>
      </c>
      <c r="S291" s="3">
        <v>0.0</v>
      </c>
      <c r="T291" s="3">
        <v>0.0</v>
      </c>
      <c r="U291" s="3">
        <v>0.0</v>
      </c>
      <c r="V291" s="3">
        <v>0.0</v>
      </c>
      <c r="W291" s="3">
        <v>0.0</v>
      </c>
      <c r="X291" s="4">
        <f t="shared" si="1"/>
        <v>220.92</v>
      </c>
      <c r="Y291" s="4">
        <f t="shared" si="2"/>
        <v>16.99384615</v>
      </c>
    </row>
    <row r="292">
      <c r="A292" s="1" t="s">
        <v>485</v>
      </c>
      <c r="B292" s="1" t="s">
        <v>68</v>
      </c>
      <c r="C292" s="1" t="s">
        <v>235</v>
      </c>
      <c r="D292" s="2" t="s">
        <v>63</v>
      </c>
      <c r="E292" s="2" t="s">
        <v>28</v>
      </c>
      <c r="F292" s="3">
        <v>23.0</v>
      </c>
      <c r="G292" s="3">
        <v>13.0</v>
      </c>
      <c r="H292" s="3">
        <v>0.0</v>
      </c>
      <c r="I292" s="3">
        <v>0.0</v>
      </c>
      <c r="J292" s="3">
        <v>0.0</v>
      </c>
      <c r="K292" s="3">
        <v>34.0</v>
      </c>
      <c r="L292" s="3">
        <v>1.0</v>
      </c>
      <c r="M292" s="3">
        <v>18.0</v>
      </c>
      <c r="N292" s="3">
        <v>298.0</v>
      </c>
      <c r="O292" s="3">
        <v>1.0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0.0</v>
      </c>
      <c r="V292" s="3">
        <v>0.0</v>
      </c>
      <c r="W292" s="3">
        <v>0.0</v>
      </c>
      <c r="X292" s="4">
        <f t="shared" si="1"/>
        <v>63.2</v>
      </c>
      <c r="Y292" s="4">
        <f t="shared" si="2"/>
        <v>4.861538462</v>
      </c>
    </row>
    <row r="293">
      <c r="A293" s="1" t="s">
        <v>486</v>
      </c>
      <c r="B293" s="2" t="s">
        <v>38</v>
      </c>
      <c r="C293" s="1" t="s">
        <v>304</v>
      </c>
      <c r="D293" s="2" t="s">
        <v>137</v>
      </c>
      <c r="E293" s="2" t="s">
        <v>36</v>
      </c>
      <c r="F293" s="3">
        <v>22.0</v>
      </c>
      <c r="G293" s="3">
        <v>16.0</v>
      </c>
      <c r="H293" s="3">
        <v>0.0</v>
      </c>
      <c r="I293" s="3">
        <v>0.0</v>
      </c>
      <c r="J293" s="3">
        <v>0.0</v>
      </c>
      <c r="K293" s="3">
        <v>1035.0</v>
      </c>
      <c r="L293" s="3">
        <v>3.0</v>
      </c>
      <c r="M293" s="3">
        <v>16.0</v>
      </c>
      <c r="N293" s="3">
        <v>139.0</v>
      </c>
      <c r="O293" s="3">
        <v>1.0</v>
      </c>
      <c r="P293" s="3">
        <v>0.0</v>
      </c>
      <c r="Q293" s="3">
        <v>1.0</v>
      </c>
      <c r="R293" s="3">
        <v>0.0</v>
      </c>
      <c r="S293" s="3">
        <v>0.0</v>
      </c>
      <c r="T293" s="3">
        <v>0.0</v>
      </c>
      <c r="U293" s="3">
        <v>0.0</v>
      </c>
      <c r="V293" s="3">
        <v>0.0</v>
      </c>
      <c r="W293" s="3">
        <v>0.0</v>
      </c>
      <c r="X293" s="4">
        <f t="shared" si="1"/>
        <v>159.4</v>
      </c>
      <c r="Y293" s="4">
        <f t="shared" si="2"/>
        <v>9.9625</v>
      </c>
    </row>
    <row r="294">
      <c r="A294" s="1" t="s">
        <v>487</v>
      </c>
      <c r="B294" s="1" t="s">
        <v>30</v>
      </c>
      <c r="C294" s="1" t="s">
        <v>327</v>
      </c>
      <c r="D294" s="2" t="s">
        <v>223</v>
      </c>
      <c r="E294" s="2" t="s">
        <v>112</v>
      </c>
      <c r="F294" s="3">
        <v>25.0</v>
      </c>
      <c r="G294" s="3">
        <v>16.0</v>
      </c>
      <c r="H294" s="3">
        <v>0.0</v>
      </c>
      <c r="I294" s="3">
        <v>0.0</v>
      </c>
      <c r="J294" s="3">
        <v>0.0</v>
      </c>
      <c r="K294" s="3">
        <v>0.0</v>
      </c>
      <c r="L294" s="3">
        <v>0.0</v>
      </c>
      <c r="M294" s="3">
        <v>0.0</v>
      </c>
      <c r="N294" s="3">
        <v>0.0</v>
      </c>
      <c r="O294" s="3">
        <v>0.0</v>
      </c>
      <c r="P294" s="3">
        <v>0.0</v>
      </c>
      <c r="Q294" s="3">
        <v>0.0</v>
      </c>
      <c r="R294" s="3">
        <v>48.0</v>
      </c>
      <c r="S294" s="3">
        <v>15.0</v>
      </c>
      <c r="T294" s="3">
        <v>10.0</v>
      </c>
      <c r="U294" s="3">
        <v>2.0</v>
      </c>
      <c r="V294" s="3">
        <v>0.0</v>
      </c>
      <c r="W294" s="3">
        <v>4.0</v>
      </c>
      <c r="X294" s="4">
        <f t="shared" si="1"/>
        <v>139</v>
      </c>
      <c r="Y294" s="4">
        <f t="shared" si="2"/>
        <v>8.6875</v>
      </c>
    </row>
    <row r="295">
      <c r="A295" s="1" t="s">
        <v>488</v>
      </c>
      <c r="B295" s="1" t="s">
        <v>110</v>
      </c>
      <c r="C295" s="1" t="s">
        <v>308</v>
      </c>
      <c r="D295" s="2" t="s">
        <v>253</v>
      </c>
      <c r="E295" s="2" t="s">
        <v>28</v>
      </c>
      <c r="F295" s="3">
        <v>28.0</v>
      </c>
      <c r="G295" s="3">
        <v>16.0</v>
      </c>
      <c r="H295" s="3">
        <v>23.0</v>
      </c>
      <c r="I295" s="3">
        <v>0.0</v>
      </c>
      <c r="J295" s="3">
        <v>0.0</v>
      </c>
      <c r="K295" s="3">
        <v>0.0</v>
      </c>
      <c r="L295" s="3">
        <v>0.0</v>
      </c>
      <c r="M295" s="3">
        <v>58.0</v>
      </c>
      <c r="N295" s="3">
        <v>762.0</v>
      </c>
      <c r="O295" s="3">
        <v>5.0</v>
      </c>
      <c r="P295" s="3">
        <v>0.0</v>
      </c>
      <c r="Q295" s="3">
        <v>1.0</v>
      </c>
      <c r="R295" s="3">
        <v>0.0</v>
      </c>
      <c r="S295" s="3">
        <v>0.0</v>
      </c>
      <c r="T295" s="3">
        <v>0.0</v>
      </c>
      <c r="U295" s="3">
        <v>0.0</v>
      </c>
      <c r="V295" s="3">
        <v>0.0</v>
      </c>
      <c r="W295" s="3">
        <v>0.0</v>
      </c>
      <c r="X295" s="4">
        <f t="shared" si="1"/>
        <v>167.12</v>
      </c>
      <c r="Y295" s="4">
        <f t="shared" si="2"/>
        <v>10.445</v>
      </c>
    </row>
    <row r="296">
      <c r="A296" s="1" t="s">
        <v>489</v>
      </c>
      <c r="B296" s="1" t="s">
        <v>61</v>
      </c>
      <c r="C296" s="1" t="s">
        <v>179</v>
      </c>
      <c r="D296" s="2" t="s">
        <v>116</v>
      </c>
      <c r="E296" s="2" t="s">
        <v>51</v>
      </c>
      <c r="F296" s="3">
        <v>27.0</v>
      </c>
      <c r="G296" s="3">
        <v>17.0</v>
      </c>
      <c r="H296" s="3">
        <v>0.0</v>
      </c>
      <c r="I296" s="3">
        <v>0.0</v>
      </c>
      <c r="J296" s="3">
        <v>0.0</v>
      </c>
      <c r="K296" s="3">
        <v>3.0</v>
      </c>
      <c r="L296" s="3">
        <v>0.0</v>
      </c>
      <c r="M296" s="3">
        <v>58.0</v>
      </c>
      <c r="N296" s="3">
        <v>552.0</v>
      </c>
      <c r="O296" s="3">
        <v>3.0</v>
      </c>
      <c r="P296" s="3">
        <v>2.0</v>
      </c>
      <c r="Q296" s="3">
        <v>0.0</v>
      </c>
      <c r="R296" s="3">
        <v>0.0</v>
      </c>
      <c r="S296" s="3">
        <v>0.0</v>
      </c>
      <c r="T296" s="3">
        <v>0.0</v>
      </c>
      <c r="U296" s="3">
        <v>0.0</v>
      </c>
      <c r="V296" s="3">
        <v>0.0</v>
      </c>
      <c r="W296" s="3">
        <v>0.0</v>
      </c>
      <c r="X296" s="4">
        <f t="shared" si="1"/>
        <v>127.5</v>
      </c>
      <c r="Y296" s="4">
        <f t="shared" si="2"/>
        <v>7.5</v>
      </c>
    </row>
    <row r="297">
      <c r="A297" s="1" t="s">
        <v>490</v>
      </c>
      <c r="B297" s="1" t="s">
        <v>31</v>
      </c>
      <c r="C297" s="1" t="s">
        <v>491</v>
      </c>
      <c r="D297" s="2" t="s">
        <v>63</v>
      </c>
      <c r="E297" s="2" t="s">
        <v>51</v>
      </c>
      <c r="F297" s="3">
        <v>29.0</v>
      </c>
      <c r="G297" s="3">
        <v>17.0</v>
      </c>
      <c r="H297" s="3">
        <v>0.0</v>
      </c>
      <c r="I297" s="3">
        <v>0.0</v>
      </c>
      <c r="J297" s="3">
        <v>0.0</v>
      </c>
      <c r="K297" s="3">
        <v>0.0</v>
      </c>
      <c r="L297" s="3">
        <v>0.0</v>
      </c>
      <c r="M297" s="3">
        <v>72.0</v>
      </c>
      <c r="N297" s="3">
        <v>620.0</v>
      </c>
      <c r="O297" s="3">
        <v>3.0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0.0</v>
      </c>
      <c r="V297" s="3">
        <v>0.0</v>
      </c>
      <c r="W297" s="3">
        <v>0.0</v>
      </c>
      <c r="X297" s="4">
        <f t="shared" si="1"/>
        <v>152</v>
      </c>
      <c r="Y297" s="4">
        <f t="shared" si="2"/>
        <v>8.941176471</v>
      </c>
    </row>
    <row r="298">
      <c r="A298" s="1" t="s">
        <v>492</v>
      </c>
      <c r="B298" s="1" t="s">
        <v>94</v>
      </c>
      <c r="C298" s="1" t="s">
        <v>123</v>
      </c>
      <c r="D298" s="2" t="s">
        <v>174</v>
      </c>
      <c r="E298" s="2" t="s">
        <v>28</v>
      </c>
      <c r="F298" s="3">
        <v>30.0</v>
      </c>
      <c r="G298" s="3">
        <v>16.0</v>
      </c>
      <c r="H298" s="3">
        <v>0.0</v>
      </c>
      <c r="I298" s="3">
        <v>0.0</v>
      </c>
      <c r="J298" s="3">
        <v>0.0</v>
      </c>
      <c r="K298" s="3">
        <v>0.0</v>
      </c>
      <c r="L298" s="3">
        <v>0.0</v>
      </c>
      <c r="M298" s="3">
        <v>84.0</v>
      </c>
      <c r="N298" s="3">
        <v>1033.0</v>
      </c>
      <c r="O298" s="3">
        <v>9.0</v>
      </c>
      <c r="P298" s="3">
        <v>2.0</v>
      </c>
      <c r="Q298" s="3">
        <v>0.0</v>
      </c>
      <c r="R298" s="3">
        <v>0.0</v>
      </c>
      <c r="S298" s="3">
        <v>0.0</v>
      </c>
      <c r="T298" s="3">
        <v>0.0</v>
      </c>
      <c r="U298" s="3">
        <v>0.0</v>
      </c>
      <c r="V298" s="3">
        <v>0.0</v>
      </c>
      <c r="W298" s="3">
        <v>0.0</v>
      </c>
      <c r="X298" s="4">
        <f t="shared" si="1"/>
        <v>237.3</v>
      </c>
      <c r="Y298" s="4">
        <f t="shared" si="2"/>
        <v>14.83125</v>
      </c>
    </row>
    <row r="299">
      <c r="A299" s="1" t="s">
        <v>493</v>
      </c>
      <c r="B299" s="2" t="s">
        <v>68</v>
      </c>
      <c r="C299" s="1" t="s">
        <v>313</v>
      </c>
      <c r="D299" s="2" t="s">
        <v>203</v>
      </c>
      <c r="E299" s="2" t="s">
        <v>28</v>
      </c>
      <c r="F299" s="3">
        <v>22.0</v>
      </c>
      <c r="G299" s="3">
        <v>13.0</v>
      </c>
      <c r="H299" s="3">
        <v>0.0</v>
      </c>
      <c r="I299" s="3">
        <v>0.0</v>
      </c>
      <c r="J299" s="3">
        <v>0.0</v>
      </c>
      <c r="K299" s="3">
        <v>16.0</v>
      </c>
      <c r="L299" s="3">
        <v>1.0</v>
      </c>
      <c r="M299" s="3">
        <v>22.0</v>
      </c>
      <c r="N299" s="3">
        <v>247.0</v>
      </c>
      <c r="O299" s="3">
        <v>2.0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  <c r="U299" s="3">
        <v>0.0</v>
      </c>
      <c r="V299" s="3">
        <v>0.0</v>
      </c>
      <c r="W299" s="3">
        <v>0.0</v>
      </c>
      <c r="X299" s="4">
        <f t="shared" si="1"/>
        <v>66.3</v>
      </c>
      <c r="Y299" s="4">
        <f t="shared" si="2"/>
        <v>5.1</v>
      </c>
    </row>
    <row r="300">
      <c r="A300" s="1" t="s">
        <v>494</v>
      </c>
      <c r="B300" s="1" t="s">
        <v>31</v>
      </c>
      <c r="C300" s="1" t="s">
        <v>495</v>
      </c>
      <c r="D300" s="2" t="s">
        <v>152</v>
      </c>
      <c r="E300" s="2" t="s">
        <v>28</v>
      </c>
      <c r="F300" s="3">
        <v>28.0</v>
      </c>
      <c r="G300" s="3">
        <v>17.0</v>
      </c>
      <c r="H300" s="3">
        <v>0.0</v>
      </c>
      <c r="I300" s="3">
        <v>0.0</v>
      </c>
      <c r="J300" s="3">
        <v>0.0</v>
      </c>
      <c r="K300" s="3">
        <v>32.0</v>
      </c>
      <c r="L300" s="3">
        <v>1.0</v>
      </c>
      <c r="M300" s="3">
        <v>119.0</v>
      </c>
      <c r="N300" s="3">
        <v>1710.0</v>
      </c>
      <c r="O300" s="3">
        <v>7.0</v>
      </c>
      <c r="P300" s="3">
        <v>1.0</v>
      </c>
      <c r="Q300" s="3">
        <v>0.0</v>
      </c>
      <c r="R300" s="3">
        <v>0.0</v>
      </c>
      <c r="S300" s="3">
        <v>0.0</v>
      </c>
      <c r="T300" s="3">
        <v>0.0</v>
      </c>
      <c r="U300" s="3">
        <v>0.0</v>
      </c>
      <c r="V300" s="3">
        <v>0.0</v>
      </c>
      <c r="W300" s="3">
        <v>0.0</v>
      </c>
      <c r="X300" s="4">
        <f t="shared" si="1"/>
        <v>339.2</v>
      </c>
      <c r="Y300" s="4">
        <f t="shared" si="2"/>
        <v>19.95294118</v>
      </c>
    </row>
    <row r="301">
      <c r="A301" s="1" t="s">
        <v>496</v>
      </c>
      <c r="B301" s="1" t="s">
        <v>65</v>
      </c>
      <c r="C301" s="1" t="s">
        <v>68</v>
      </c>
      <c r="D301" s="2" t="s">
        <v>63</v>
      </c>
      <c r="E301" s="2" t="s">
        <v>28</v>
      </c>
      <c r="F301" s="3">
        <v>26.0</v>
      </c>
      <c r="G301" s="3">
        <v>11.0</v>
      </c>
      <c r="H301" s="3">
        <v>0.0</v>
      </c>
      <c r="I301" s="3">
        <v>0.0</v>
      </c>
      <c r="J301" s="3">
        <v>0.0</v>
      </c>
      <c r="K301" s="3">
        <v>0.0</v>
      </c>
      <c r="L301" s="3">
        <v>0.0</v>
      </c>
      <c r="M301" s="3">
        <v>24.0</v>
      </c>
      <c r="N301" s="3">
        <v>369.0</v>
      </c>
      <c r="O301" s="3">
        <v>3.0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0.0</v>
      </c>
      <c r="V301" s="3">
        <v>0.0</v>
      </c>
      <c r="W301" s="3">
        <v>0.0</v>
      </c>
      <c r="X301" s="4">
        <f t="shared" si="1"/>
        <v>78.9</v>
      </c>
      <c r="Y301" s="4">
        <f t="shared" si="2"/>
        <v>7.172727273</v>
      </c>
    </row>
    <row r="302">
      <c r="A302" s="1" t="s">
        <v>497</v>
      </c>
      <c r="B302" s="1" t="s">
        <v>31</v>
      </c>
      <c r="C302" s="1" t="s">
        <v>498</v>
      </c>
      <c r="D302" s="2" t="s">
        <v>66</v>
      </c>
      <c r="E302" s="2" t="s">
        <v>112</v>
      </c>
      <c r="F302" s="3">
        <v>28.0</v>
      </c>
      <c r="G302" s="3">
        <v>17.0</v>
      </c>
      <c r="H302" s="3">
        <v>0.0</v>
      </c>
      <c r="I302" s="3">
        <v>0.0</v>
      </c>
      <c r="J302" s="3">
        <v>0.0</v>
      </c>
      <c r="K302" s="3">
        <v>0.0</v>
      </c>
      <c r="L302" s="3">
        <v>0.0</v>
      </c>
      <c r="M302" s="3">
        <v>0.0</v>
      </c>
      <c r="N302" s="3">
        <v>0.0</v>
      </c>
      <c r="O302" s="3">
        <v>0.0</v>
      </c>
      <c r="P302" s="3">
        <v>0.0</v>
      </c>
      <c r="Q302" s="3">
        <v>0.0</v>
      </c>
      <c r="R302" s="3">
        <v>33.0</v>
      </c>
      <c r="S302" s="3">
        <v>15.0</v>
      </c>
      <c r="T302" s="3">
        <v>4.0</v>
      </c>
      <c r="U302" s="3">
        <v>3.0</v>
      </c>
      <c r="V302" s="3">
        <v>1.0</v>
      </c>
      <c r="W302" s="3">
        <v>8.0</v>
      </c>
      <c r="X302" s="4">
        <f t="shared" si="1"/>
        <v>107</v>
      </c>
      <c r="Y302" s="4">
        <f t="shared" si="2"/>
        <v>6.294117647</v>
      </c>
    </row>
    <row r="303">
      <c r="A303" s="1" t="s">
        <v>499</v>
      </c>
      <c r="B303" s="1" t="s">
        <v>500</v>
      </c>
      <c r="C303" s="1" t="s">
        <v>128</v>
      </c>
      <c r="D303" s="2" t="s">
        <v>174</v>
      </c>
      <c r="E303" s="2" t="s">
        <v>51</v>
      </c>
      <c r="F303" s="3">
        <v>26.0</v>
      </c>
      <c r="G303" s="3">
        <v>15.0</v>
      </c>
      <c r="H303" s="3">
        <v>0.0</v>
      </c>
      <c r="I303" s="3">
        <v>0.0</v>
      </c>
      <c r="J303" s="3">
        <v>0.0</v>
      </c>
      <c r="K303" s="3">
        <v>0.0</v>
      </c>
      <c r="L303" s="3">
        <v>0.0</v>
      </c>
      <c r="M303" s="3">
        <v>34.0</v>
      </c>
      <c r="N303" s="3">
        <v>349.0</v>
      </c>
      <c r="O303" s="3">
        <v>3.0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0.0</v>
      </c>
      <c r="V303" s="3">
        <v>0.0</v>
      </c>
      <c r="W303" s="3">
        <v>0.0</v>
      </c>
      <c r="X303" s="4">
        <f t="shared" si="1"/>
        <v>86.9</v>
      </c>
      <c r="Y303" s="4">
        <f t="shared" si="2"/>
        <v>5.793333333</v>
      </c>
    </row>
    <row r="304">
      <c r="A304" s="1" t="s">
        <v>501</v>
      </c>
      <c r="B304" s="1" t="s">
        <v>502</v>
      </c>
      <c r="C304" s="1" t="s">
        <v>327</v>
      </c>
      <c r="D304" s="2" t="s">
        <v>137</v>
      </c>
      <c r="E304" s="2" t="s">
        <v>112</v>
      </c>
      <c r="F304" s="3">
        <v>28.0</v>
      </c>
      <c r="G304" s="3">
        <v>17.0</v>
      </c>
      <c r="H304" s="3">
        <v>0.0</v>
      </c>
      <c r="I304" s="3">
        <v>0.0</v>
      </c>
      <c r="J304" s="3">
        <v>0.0</v>
      </c>
      <c r="K304" s="3">
        <v>0.0</v>
      </c>
      <c r="L304" s="3">
        <v>0.0</v>
      </c>
      <c r="M304" s="3">
        <v>0.0</v>
      </c>
      <c r="N304" s="3">
        <v>0.0</v>
      </c>
      <c r="O304" s="3">
        <v>0.0</v>
      </c>
      <c r="P304" s="3">
        <v>0.0</v>
      </c>
      <c r="Q304" s="3">
        <v>0.0</v>
      </c>
      <c r="R304" s="3">
        <v>33.0</v>
      </c>
      <c r="S304" s="3">
        <v>16.0</v>
      </c>
      <c r="T304" s="3">
        <v>9.0</v>
      </c>
      <c r="U304" s="3">
        <v>7.0</v>
      </c>
      <c r="V304" s="3">
        <v>0.0</v>
      </c>
      <c r="W304" s="3">
        <v>5.0</v>
      </c>
      <c r="X304" s="4">
        <f t="shared" si="1"/>
        <v>147</v>
      </c>
      <c r="Y304" s="4">
        <f t="shared" si="2"/>
        <v>8.647058824</v>
      </c>
    </row>
    <row r="305">
      <c r="A305" s="1" t="s">
        <v>503</v>
      </c>
      <c r="B305" s="1" t="s">
        <v>38</v>
      </c>
      <c r="C305" s="1" t="s">
        <v>91</v>
      </c>
      <c r="D305" s="2" t="s">
        <v>32</v>
      </c>
      <c r="E305" s="2" t="s">
        <v>51</v>
      </c>
      <c r="F305" s="3">
        <v>32.0</v>
      </c>
      <c r="G305" s="3">
        <v>10.0</v>
      </c>
      <c r="H305" s="3">
        <v>0.0</v>
      </c>
      <c r="I305" s="3">
        <v>0.0</v>
      </c>
      <c r="J305" s="3">
        <v>0.0</v>
      </c>
      <c r="K305" s="3">
        <v>0.0</v>
      </c>
      <c r="L305" s="3">
        <v>0.0</v>
      </c>
      <c r="M305" s="3">
        <v>47.0</v>
      </c>
      <c r="N305" s="3">
        <v>406.0</v>
      </c>
      <c r="O305" s="3">
        <v>4.0</v>
      </c>
      <c r="P305" s="3">
        <v>0.0</v>
      </c>
      <c r="Q305" s="3">
        <v>2.0</v>
      </c>
      <c r="R305" s="3">
        <v>0.0</v>
      </c>
      <c r="S305" s="3">
        <v>0.0</v>
      </c>
      <c r="T305" s="3">
        <v>0.0</v>
      </c>
      <c r="U305" s="3">
        <v>0.0</v>
      </c>
      <c r="V305" s="3">
        <v>0.0</v>
      </c>
      <c r="W305" s="3">
        <v>0.0</v>
      </c>
      <c r="X305" s="4">
        <f t="shared" si="1"/>
        <v>115.6</v>
      </c>
      <c r="Y305" s="4">
        <f t="shared" si="2"/>
        <v>11.56</v>
      </c>
    </row>
    <row r="306">
      <c r="A306" s="1" t="s">
        <v>504</v>
      </c>
      <c r="B306" s="1" t="s">
        <v>198</v>
      </c>
      <c r="C306" s="1" t="s">
        <v>304</v>
      </c>
      <c r="D306" s="2" t="s">
        <v>116</v>
      </c>
      <c r="E306" s="2" t="s">
        <v>39</v>
      </c>
      <c r="F306" s="3">
        <v>23.0</v>
      </c>
      <c r="G306" s="3">
        <v>9.0</v>
      </c>
      <c r="H306" s="3">
        <v>1688.0</v>
      </c>
      <c r="I306" s="3">
        <v>6.0</v>
      </c>
      <c r="J306" s="3">
        <v>7.0</v>
      </c>
      <c r="K306" s="3">
        <v>102.0</v>
      </c>
      <c r="L306" s="3">
        <v>1.0</v>
      </c>
      <c r="M306" s="3">
        <v>1.0</v>
      </c>
      <c r="N306" s="3">
        <v>2.0</v>
      </c>
      <c r="O306" s="3">
        <v>1.0</v>
      </c>
      <c r="P306" s="3">
        <v>1.0</v>
      </c>
      <c r="Q306" s="3">
        <v>0.0</v>
      </c>
      <c r="R306" s="3">
        <v>0.0</v>
      </c>
      <c r="S306" s="3">
        <v>0.0</v>
      </c>
      <c r="T306" s="3">
        <v>0.0</v>
      </c>
      <c r="U306" s="3">
        <v>0.0</v>
      </c>
      <c r="V306" s="3">
        <v>0.0</v>
      </c>
      <c r="W306" s="3">
        <v>0.0</v>
      </c>
      <c r="X306" s="4">
        <f t="shared" si="1"/>
        <v>98.92</v>
      </c>
      <c r="Y306" s="4">
        <f t="shared" si="2"/>
        <v>10.99111111</v>
      </c>
    </row>
    <row r="307">
      <c r="A307" s="1" t="s">
        <v>505</v>
      </c>
      <c r="B307" s="1" t="s">
        <v>68</v>
      </c>
      <c r="C307" s="1" t="s">
        <v>198</v>
      </c>
      <c r="D307" s="2" t="s">
        <v>54</v>
      </c>
      <c r="E307" s="2" t="s">
        <v>36</v>
      </c>
      <c r="F307" s="3">
        <v>25.0</v>
      </c>
      <c r="G307" s="3">
        <v>13.0</v>
      </c>
      <c r="H307" s="3">
        <v>0.0</v>
      </c>
      <c r="I307" s="3">
        <v>0.0</v>
      </c>
      <c r="J307" s="3">
        <v>0.0</v>
      </c>
      <c r="K307" s="3">
        <v>456.0</v>
      </c>
      <c r="L307" s="3">
        <v>1.0</v>
      </c>
      <c r="M307" s="3">
        <v>11.0</v>
      </c>
      <c r="N307" s="3">
        <v>39.0</v>
      </c>
      <c r="O307" s="3">
        <v>0.0</v>
      </c>
      <c r="P307" s="3">
        <v>1.0</v>
      </c>
      <c r="Q307" s="3">
        <v>0.0</v>
      </c>
      <c r="R307" s="3">
        <v>0.0</v>
      </c>
      <c r="S307" s="3">
        <v>0.0</v>
      </c>
      <c r="T307" s="3">
        <v>0.0</v>
      </c>
      <c r="U307" s="3">
        <v>0.0</v>
      </c>
      <c r="V307" s="3">
        <v>0.0</v>
      </c>
      <c r="W307" s="3">
        <v>0.0</v>
      </c>
      <c r="X307" s="4">
        <f t="shared" si="1"/>
        <v>64.5</v>
      </c>
      <c r="Y307" s="4">
        <f t="shared" si="2"/>
        <v>4.961538462</v>
      </c>
    </row>
    <row r="308">
      <c r="A308" s="1" t="s">
        <v>506</v>
      </c>
      <c r="B308" s="1" t="s">
        <v>79</v>
      </c>
      <c r="C308" s="1" t="s">
        <v>507</v>
      </c>
      <c r="D308" s="2" t="s">
        <v>164</v>
      </c>
      <c r="E308" s="2" t="s">
        <v>28</v>
      </c>
      <c r="F308" s="3">
        <v>27.0</v>
      </c>
      <c r="G308" s="3">
        <v>16.0</v>
      </c>
      <c r="H308" s="3">
        <v>0.0</v>
      </c>
      <c r="I308" s="3">
        <v>0.0</v>
      </c>
      <c r="J308" s="3">
        <v>0.0</v>
      </c>
      <c r="K308" s="3">
        <v>18.0</v>
      </c>
      <c r="L308" s="3">
        <v>0.0</v>
      </c>
      <c r="M308" s="3">
        <v>82.0</v>
      </c>
      <c r="N308" s="3">
        <v>823.0</v>
      </c>
      <c r="O308" s="3">
        <v>5.0</v>
      </c>
      <c r="P308" s="3">
        <v>0.0</v>
      </c>
      <c r="Q308" s="3">
        <v>1.0</v>
      </c>
      <c r="R308" s="3">
        <v>0.0</v>
      </c>
      <c r="S308" s="3">
        <v>0.0</v>
      </c>
      <c r="T308" s="3">
        <v>0.0</v>
      </c>
      <c r="U308" s="3">
        <v>0.0</v>
      </c>
      <c r="V308" s="3">
        <v>0.0</v>
      </c>
      <c r="W308" s="3">
        <v>0.0</v>
      </c>
      <c r="X308" s="4">
        <f t="shared" si="1"/>
        <v>198.1</v>
      </c>
      <c r="Y308" s="4">
        <f t="shared" si="2"/>
        <v>12.38125</v>
      </c>
    </row>
  </sheetData>
  <drawing r:id="rId1"/>
</worksheet>
</file>